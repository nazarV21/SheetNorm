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xBuk\Desktop\Основы работы с данными\Основы работы с данными - Примеры\"/>
    </mc:Choice>
  </mc:AlternateContent>
  <xr:revisionPtr revIDLastSave="0" documentId="13_ncr:1_{D206A7C3-A64B-478B-A28D-3DD68CCFA4C8}" xr6:coauthVersionLast="47" xr6:coauthVersionMax="47" xr10:uidLastSave="{00000000-0000-0000-0000-000000000000}"/>
  <bookViews>
    <workbookView xWindow="20640" yWindow="0" windowWidth="20640" windowHeight="16824" activeTab="2" xr2:uid="{A50120A1-6978-42AE-990E-30A7813532E5}"/>
  </bookViews>
  <sheets>
    <sheet name="Плоская v1" sheetId="2" r:id="rId1"/>
    <sheet name="Сводная v1" sheetId="3" r:id="rId2"/>
    <sheet name="Сводная v2" sheetId="5" r:id="rId3"/>
  </sheets>
  <definedNames>
    <definedName name="Срез_Группы_подъемных_агрегатов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<sst xmlns="http://schemas.openxmlformats.org/spreadsheetml/2006/main" count="145" uniqueCount="24">
  <si>
    <t>Наименование работ</t>
  </si>
  <si>
    <t>Норма времени, час</t>
  </si>
  <si>
    <t>Группы подъемных агрегатов</t>
  </si>
  <si>
    <t>до 50 т</t>
  </si>
  <si>
    <t>от 50 до 80 т</t>
  </si>
  <si>
    <t>Монтаж ИВЭ</t>
  </si>
  <si>
    <t>Установка заземления оборудования – 4 ед. (приемные мостки, технологическая емкость, доливная емкость, инструментальный вагон)</t>
  </si>
  <si>
    <t>Укладка эл. кабеля на козлы-подставки (1 ед.)</t>
  </si>
  <si>
    <t>Подключение электросети к инструментальному вагону (1 ед.)</t>
  </si>
  <si>
    <t>Подключение прожекторов к электросети</t>
  </si>
  <si>
    <t>Монтаж передвижной рабочей площадки</t>
  </si>
  <si>
    <t>Монтаж передвижных приемных мостков (1 ед.)</t>
  </si>
  <si>
    <t>Монтаж линии долива от емкости к устью скважины</t>
  </si>
  <si>
    <t>Монтаж подвесного гидравлического ключа с пневмоспайдером</t>
  </si>
  <si>
    <t>Монтаж якорей при помощи АЗА и испытание якорей для крепления оттяжек</t>
  </si>
  <si>
    <t xml:space="preserve">БВ-2.3а </t>
  </si>
  <si>
    <t>Блок-вставки по КРС</t>
  </si>
  <si>
    <t>свыше 100 т</t>
  </si>
  <si>
    <t>Монтаж подъемного агрегата с оттяжками</t>
  </si>
  <si>
    <t>Монтаж подъемного агрегата без оттяжек</t>
  </si>
  <si>
    <t>Названия строк</t>
  </si>
  <si>
    <t>Общий итог</t>
  </si>
  <si>
    <t>Сумма по полю Норма времени, час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</si>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</sst>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Обычный" xfId="0" builtinId="0"/>
    <cellStyle name="Обычный 2_структура сборника ТРС (4) 2" xfId="1" xr:uid="{BCD59577-33DB-4190-9A08-4FF81A344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[Пример1-02-БВ - Плоская.xlsx]Сводная v2!Сводная таблица1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'Сводная v2'!$B$3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49-486F-8900-55A0D2BDF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49-486F-8900-55A0D2BDF0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49-486F-8900-55A0D2BDF0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49-486F-8900-55A0D2BDF0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49-486F-8900-55A0D2BDF0E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49-486F-8900-55A0D2BDF0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949-486F-8900-55A0D2BDF0E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949-486F-8900-55A0D2BDF0E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949-486F-8900-55A0D2BDF0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949-486F-8900-55A0D2BDF0E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949-486F-8900-55A0D2BDF0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'Сводная v2'!$A$4:$A$16</c:f>
              <c:multiLvlStrCache>
                <c:ptCount val="11"/>
                <c:lvl>
                  <c:pt idx="0">
                    <c:v>Монтаж ИВЭ</c:v>
                  </c:pt>
                  <c:pt idx="1">
                    <c:v>Монтаж линии долива от емкости к устью скважины</c:v>
                  </c:pt>
                  <c:pt idx="2">
                    <c:v>Монтаж передвижной рабочей площадки</c:v>
                  </c:pt>
                  <c:pt idx="3">
                    <c:v>Монтаж передвижных приемных мостков (1 ед.)</c:v>
                  </c:pt>
                  <c:pt idx="4">
                    <c:v>Монтаж подвесного гидравлического ключа с пневмоспайдером</c:v>
                  </c:pt>
                  <c:pt idx="5">
                    <c:v>Монтаж подъемного агрегата с оттяжками</c:v>
                  </c:pt>
                  <c:pt idx="6">
                    <c:v>Монтаж якорей при помощи АЗА и испытание якорей для крепления оттяжек</c:v>
                  </c:pt>
                  <c:pt idx="7">
                    <c:v>Подключение прожекторов к электросети</c:v>
                  </c:pt>
                  <c:pt idx="8">
                    <c:v>Подключение электросети к инструментальному вагону (1 ед.)</c:v>
                  </c:pt>
                  <c:pt idx="9">
                    <c:v>Укладка эл. кабеля на козлы-подставки (1 ед.)</c:v>
                  </c:pt>
                  <c:pt idx="10">
                    <c:v>Установка заземления оборудования – 4 ед. (приемные мостки, технологическая емкость, доливная емкость, инструментальный вагон)</c:v>
                  </c:pt>
                </c:lvl>
                <c:lvl>
                  <c:pt idx="0">
                    <c:v>БВ-2.3а </c:v>
                  </c:pt>
                </c:lvl>
              </c:multiLvlStrCache>
            </c:multiLvlStrRef>
          </c:cat>
          <c:val>
            <c:numRef>
              <c:f>'Сводная v2'!$B$4:$B$16</c:f>
              <c:numCache>
                <c:formatCode>General</c:formatCode>
                <c:ptCount val="11"/>
                <c:pt idx="0">
                  <c:v>0.18</c:v>
                </c:pt>
                <c:pt idx="1">
                  <c:v>0.14000000000000001</c:v>
                </c:pt>
                <c:pt idx="2">
                  <c:v>0.83</c:v>
                </c:pt>
                <c:pt idx="3">
                  <c:v>0.28999999999999998</c:v>
                </c:pt>
                <c:pt idx="4">
                  <c:v>0.22</c:v>
                </c:pt>
                <c:pt idx="5">
                  <c:v>1.56</c:v>
                </c:pt>
                <c:pt idx="6">
                  <c:v>0.65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0.04</c:v>
                </c:pt>
                <c:pt idx="10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9-463F-82C8-EF5C6117CD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67491</xdr:colOff>
      <xdr:row>0</xdr:row>
      <xdr:rowOff>13063</xdr:rowOff>
    </xdr:from>
    <xdr:to>
      <xdr:col>5</xdr:col>
      <xdr:colOff>67491</xdr:colOff>
      <xdr:row>13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Группы подъемных агрегатов">
              <a:extLst>
                <a:ext uri="{FF2B5EF4-FFF2-40B4-BE49-F238E27FC236}">
                  <a16:creationId xmlns:a16="http://schemas.microsoft.com/office/drawing/2014/main" id="{BCA63F6B-621C-2141-6FA6-703C486B6E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руппы подъемных агрегатов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23320" y="13063"/>
              <a:ext cx="1828800" cy="2497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87087</xdr:colOff>
      <xdr:row>19</xdr:row>
      <xdr:rowOff>61504</xdr:rowOff>
    </xdr:from>
    <xdr:to>
      <xdr:col>2</xdr:col>
      <xdr:colOff>76200</xdr:colOff>
      <xdr:row>52</xdr:row>
      <xdr:rowOff>34835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CEA3E24-F8E7-14CD-1A8C-A89DBA321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xBuk" refreshedDate="45924.422216666666" createdVersion="8" refreshedVersion="8" minRefreshableVersion="3" recordCount="36" xr:uid="{8CD92C2F-D21F-483E-8FED-ACCA70540056}">
  <cacheSource type="worksheet">
    <worksheetSource name="Таблица1"/>
  </cacheSource>
  <cacheFields count="4">
    <cacheField name="Блок-вставки по КРС" numFmtId="0">
      <sharedItems count="1">
        <s v="БВ-2.3а "/>
      </sharedItems>
    </cacheField>
    <cacheField name="Наименование работ" numFmtId="0">
      <sharedItems count="12">
        <s v="Монтаж подъемного агрегата с оттяжками"/>
        <s v="Монтаж подъемного агрегата без оттяжек"/>
        <s v="Монтаж ИВЭ"/>
        <s v="Установка заземления оборудования – 4 ед. (приемные мостки, технологическая емкость, доливная емкость, инструментальный вагон)"/>
        <s v="Укладка эл. кабеля на козлы-подставки (1 ед.)"/>
        <s v="Подключение электросети к инструментальному вагону (1 ед.)"/>
        <s v="Подключение прожекторов к электросети"/>
        <s v="Монтаж передвижной рабочей площадки"/>
        <s v="Монтаж передвижных приемных мостков (1 ед.)"/>
        <s v="Монтаж линии долива от емкости к устью скважины"/>
        <s v="Монтаж подвесного гидравлического ключа с пневмоспайдером"/>
        <s v="Монтаж якорей при помощи АЗА и испытание якорей для крепления оттяжек"/>
      </sharedItems>
    </cacheField>
    <cacheField name="Группы подъемных агрегатов" numFmtId="0">
      <sharedItems count="3">
        <s v="до 50 т"/>
        <s v="от 50 до 80 т"/>
        <s v="свыше 100 т"/>
      </sharedItems>
    </cacheField>
    <cacheField name="Норма времени, час" numFmtId="0">
      <sharedItems containsSemiMixedTypes="0" containsString="0" containsNumber="1" minValue="0" maxValue="10.58" count="16">
        <n v="1.56"/>
        <n v="3.49"/>
        <n v="10.58"/>
        <n v="1.1599999999999999"/>
        <n v="2.0299999999999998"/>
        <n v="0"/>
        <n v="0.18"/>
        <n v="0.63"/>
        <n v="0.04"/>
        <n v="0.13"/>
        <n v="0.14000000000000001"/>
        <n v="0.83"/>
        <n v="0.28999999999999998"/>
        <n v="0.22"/>
        <n v="0.65"/>
        <n v="1.1299999999999999"/>
      </sharedItems>
    </cacheField>
  </cacheFields>
  <extLst>
    <ext xmlns:x14="http://schemas.microsoft.com/office/spreadsheetml/2009/9/main" uri="{725AE2AE-9491-48be-B2B4-4EB974FC3084}">
      <x14:pivotCacheDefinition pivotCacheId="16804570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</r>
  <r>
    <x v="0"/>
    <x v="0"/>
    <x v="1"/>
    <x v="1"/>
  </r>
  <r>
    <x v="0"/>
    <x v="0"/>
    <x v="2"/>
    <x v="2"/>
  </r>
  <r>
    <x v="0"/>
    <x v="1"/>
    <x v="0"/>
    <x v="3"/>
  </r>
  <r>
    <x v="0"/>
    <x v="1"/>
    <x v="1"/>
    <x v="4"/>
  </r>
  <r>
    <x v="0"/>
    <x v="1"/>
    <x v="2"/>
    <x v="5"/>
  </r>
  <r>
    <x v="0"/>
    <x v="2"/>
    <x v="0"/>
    <x v="6"/>
  </r>
  <r>
    <x v="0"/>
    <x v="2"/>
    <x v="1"/>
    <x v="6"/>
  </r>
  <r>
    <x v="0"/>
    <x v="2"/>
    <x v="2"/>
    <x v="6"/>
  </r>
  <r>
    <x v="0"/>
    <x v="3"/>
    <x v="0"/>
    <x v="7"/>
  </r>
  <r>
    <x v="0"/>
    <x v="3"/>
    <x v="1"/>
    <x v="7"/>
  </r>
  <r>
    <x v="0"/>
    <x v="3"/>
    <x v="2"/>
    <x v="7"/>
  </r>
  <r>
    <x v="0"/>
    <x v="4"/>
    <x v="0"/>
    <x v="8"/>
  </r>
  <r>
    <x v="0"/>
    <x v="4"/>
    <x v="1"/>
    <x v="8"/>
  </r>
  <r>
    <x v="0"/>
    <x v="4"/>
    <x v="2"/>
    <x v="8"/>
  </r>
  <r>
    <x v="0"/>
    <x v="5"/>
    <x v="0"/>
    <x v="9"/>
  </r>
  <r>
    <x v="0"/>
    <x v="5"/>
    <x v="1"/>
    <x v="9"/>
  </r>
  <r>
    <x v="0"/>
    <x v="5"/>
    <x v="2"/>
    <x v="9"/>
  </r>
  <r>
    <x v="0"/>
    <x v="6"/>
    <x v="0"/>
    <x v="10"/>
  </r>
  <r>
    <x v="0"/>
    <x v="6"/>
    <x v="1"/>
    <x v="10"/>
  </r>
  <r>
    <x v="0"/>
    <x v="6"/>
    <x v="2"/>
    <x v="10"/>
  </r>
  <r>
    <x v="0"/>
    <x v="7"/>
    <x v="0"/>
    <x v="11"/>
  </r>
  <r>
    <x v="0"/>
    <x v="7"/>
    <x v="1"/>
    <x v="11"/>
  </r>
  <r>
    <x v="0"/>
    <x v="7"/>
    <x v="2"/>
    <x v="5"/>
  </r>
  <r>
    <x v="0"/>
    <x v="8"/>
    <x v="0"/>
    <x v="12"/>
  </r>
  <r>
    <x v="0"/>
    <x v="8"/>
    <x v="1"/>
    <x v="12"/>
  </r>
  <r>
    <x v="0"/>
    <x v="8"/>
    <x v="2"/>
    <x v="12"/>
  </r>
  <r>
    <x v="0"/>
    <x v="9"/>
    <x v="0"/>
    <x v="10"/>
  </r>
  <r>
    <x v="0"/>
    <x v="9"/>
    <x v="1"/>
    <x v="10"/>
  </r>
  <r>
    <x v="0"/>
    <x v="9"/>
    <x v="2"/>
    <x v="10"/>
  </r>
  <r>
    <x v="0"/>
    <x v="10"/>
    <x v="0"/>
    <x v="13"/>
  </r>
  <r>
    <x v="0"/>
    <x v="10"/>
    <x v="1"/>
    <x v="13"/>
  </r>
  <r>
    <x v="0"/>
    <x v="10"/>
    <x v="2"/>
    <x v="13"/>
  </r>
  <r>
    <x v="0"/>
    <x v="11"/>
    <x v="0"/>
    <x v="14"/>
  </r>
  <r>
    <x v="0"/>
    <x v="11"/>
    <x v="1"/>
    <x v="14"/>
  </r>
  <r>
    <x v="0"/>
    <x v="11"/>
    <x v="2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EEE99-CED9-4C41-B1E7-692E62B5A119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4:B16" firstHeaderRow="1" firstDataRow="1" firstDataCol="1" rowPageCount="1" colPageCount="1"/>
  <pivotFields count="4">
    <pivotField axis="axisRow" showAll="0">
      <items count="2">
        <item x="0"/>
        <item t="default"/>
      </items>
    </pivotField>
    <pivotField axis="axisRow" multipleItemSelectionAllowed="1" showAll="0">
      <items count="13">
        <item x="2"/>
        <item x="1"/>
        <item h="1" x="0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>
      <items count="17">
        <item x="5"/>
        <item x="8"/>
        <item x="9"/>
        <item x="10"/>
        <item x="6"/>
        <item x="13"/>
        <item x="12"/>
        <item x="7"/>
        <item x="14"/>
        <item x="11"/>
        <item x="15"/>
        <item x="3"/>
        <item x="0"/>
        <item x="4"/>
        <item x="1"/>
        <item x="2"/>
        <item t="default"/>
      </items>
    </pivotField>
  </pivotFields>
  <rowFields count="2">
    <field x="0"/>
    <field x="1"/>
  </rowFields>
  <rowItems count="12">
    <i>
      <x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pageFields count="1">
    <pageField fld="2" hier="-1"/>
  </pageFields>
  <dataFields count="1">
    <dataField name="Сумма по полю Норма времени, час" fld="3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CE487-121E-42CD-8BC6-35EBF06A6F99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3:B16" firstHeaderRow="1" firstDataRow="1" firstDataCol="1" rowPageCount="1" colPageCount="1"/>
  <pivotFields count="4">
    <pivotField axis="axisRow" showAll="0">
      <items count="2">
        <item x="0"/>
        <item t="default"/>
      </items>
    </pivotField>
    <pivotField axis="axisRow" showAll="0">
      <items count="13">
        <item x="2"/>
        <item x="9"/>
        <item x="7"/>
        <item x="8"/>
        <item x="10"/>
        <item h="1" x="1"/>
        <item x="0"/>
        <item x="11"/>
        <item x="6"/>
        <item x="5"/>
        <item x="4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2" item="0" hier="-1"/>
  </pageFields>
  <dataFields count="1">
    <dataField name="Сумма по полю Норма времени, час" fld="3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8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руппы_подъемных_агрегатов" xr10:uid="{12BA788F-C8C1-4B85-8FB9-8F54EF27A9E0}" sourceName="Группы подъемных агрегатов">
  <pivotTables>
    <pivotTable tabId="5" name="Сводная таблица1"/>
  </pivotTables>
  <data>
    <tabular pivotCacheId="1680457048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руппы подъемных агрегатов" xr10:uid="{01BBE583-84ED-4063-8A7D-B57D78E0D014}" cache="Срез_Группы_подъемных_агрегатов" caption="Группы подъемных агрегатов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683E6-33E1-4EA7-B271-D3B904EFA5EE}" name="Таблица1" displayName="Таблица1" ref="A1:D37" totalsRowShown="0">
  <autoFilter ref="A1:D37" xr:uid="{2F5683E6-33E1-4EA7-B271-D3B904EFA5EE}"/>
  <tableColumns count="4">
    <tableColumn id="1" xr3:uid="{826E051A-CC96-4583-8DB8-E67FF091CDED}" name="Блок-вставки по КРС"/>
    <tableColumn id="2" xr3:uid="{5EBB4DA8-B0B9-4BDA-9226-A83573F7A790}" name="Наименование работ"/>
    <tableColumn id="3" xr3:uid="{9BB9D668-7683-4F14-A188-1779E86FB84A}" name="Группы подъемных агрегатов"/>
    <tableColumn id="4" xr3:uid="{9D8B1CF9-062E-4496-AAF3-730D73B36B3C}" name="Норма времени, час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FAD6-92B8-470F-8707-75B8DC7F8921}">
  <dimension ref="A1:D37"/>
  <sheetViews>
    <sheetView zoomScale="85" zoomScaleNormal="85" workbookViewId="0">
      <selection activeCell="B42" sqref="B42"/>
    </sheetView>
  </sheetViews>
  <sheetFormatPr defaultRowHeight="14.4" x14ac:dyDescent="0.3"/>
  <cols>
    <col min="1" max="1" width="20" customWidth="1"/>
    <col min="2" max="2" width="122.33203125" bestFit="1" customWidth="1"/>
    <col min="3" max="3" width="29.88671875" bestFit="1" customWidth="1"/>
    <col min="4" max="4" width="21.44140625" bestFit="1" customWidth="1"/>
  </cols>
  <sheetData>
    <row r="1" spans="1:4" ht="14.4" customHeight="1" x14ac:dyDescent="0.3">
      <c r="A1" t="s">
        <v>16</v>
      </c>
      <c r="B1" t="s">
        <v>0</v>
      </c>
      <c r="C1" t="s">
        <v>2</v>
      </c>
      <c r="D1" t="s">
        <v>1</v>
      </c>
    </row>
    <row r="2" spans="1:4" ht="14.4" customHeight="1" x14ac:dyDescent="0.3">
      <c r="A2" t="s">
        <v>15</v>
      </c>
      <c r="B2" t="s">
        <v>18</v>
      </c>
      <c r="C2" t="s">
        <v>3</v>
      </c>
      <c r="D2">
        <v>1.56</v>
      </c>
    </row>
    <row r="3" spans="1:4" ht="14.4" customHeight="1" x14ac:dyDescent="0.3">
      <c r="A3" t="s">
        <v>15</v>
      </c>
      <c r="B3" t="s">
        <v>18</v>
      </c>
      <c r="C3" t="s">
        <v>4</v>
      </c>
      <c r="D3">
        <v>3.49</v>
      </c>
    </row>
    <row r="4" spans="1:4" x14ac:dyDescent="0.3">
      <c r="A4" t="s">
        <v>15</v>
      </c>
      <c r="B4" t="s">
        <v>18</v>
      </c>
      <c r="C4" t="s">
        <v>17</v>
      </c>
      <c r="D4">
        <v>10.58</v>
      </c>
    </row>
    <row r="5" spans="1:4" x14ac:dyDescent="0.3">
      <c r="A5" t="s">
        <v>15</v>
      </c>
      <c r="B5" t="s">
        <v>19</v>
      </c>
      <c r="C5" t="s">
        <v>3</v>
      </c>
      <c r="D5">
        <v>1.1599999999999999</v>
      </c>
    </row>
    <row r="6" spans="1:4" x14ac:dyDescent="0.3">
      <c r="A6" t="s">
        <v>15</v>
      </c>
      <c r="B6" t="s">
        <v>19</v>
      </c>
      <c r="C6" t="s">
        <v>4</v>
      </c>
      <c r="D6">
        <v>2.0299999999999998</v>
      </c>
    </row>
    <row r="7" spans="1:4" x14ac:dyDescent="0.3">
      <c r="A7" t="s">
        <v>15</v>
      </c>
      <c r="B7" t="s">
        <v>19</v>
      </c>
      <c r="C7" t="s">
        <v>17</v>
      </c>
      <c r="D7">
        <v>0</v>
      </c>
    </row>
    <row r="8" spans="1:4" x14ac:dyDescent="0.3">
      <c r="A8" t="s">
        <v>15</v>
      </c>
      <c r="B8" t="s">
        <v>5</v>
      </c>
      <c r="C8" t="s">
        <v>3</v>
      </c>
      <c r="D8">
        <v>0.18</v>
      </c>
    </row>
    <row r="9" spans="1:4" x14ac:dyDescent="0.3">
      <c r="A9" t="s">
        <v>15</v>
      </c>
      <c r="B9" t="s">
        <v>5</v>
      </c>
      <c r="C9" t="s">
        <v>4</v>
      </c>
      <c r="D9">
        <v>0.18</v>
      </c>
    </row>
    <row r="10" spans="1:4" x14ac:dyDescent="0.3">
      <c r="A10" t="s">
        <v>15</v>
      </c>
      <c r="B10" t="s">
        <v>5</v>
      </c>
      <c r="C10" t="s">
        <v>17</v>
      </c>
      <c r="D10">
        <v>0.18</v>
      </c>
    </row>
    <row r="11" spans="1:4" x14ac:dyDescent="0.3">
      <c r="A11" t="s">
        <v>15</v>
      </c>
      <c r="B11" t="s">
        <v>6</v>
      </c>
      <c r="C11" t="s">
        <v>3</v>
      </c>
      <c r="D11">
        <v>0.63</v>
      </c>
    </row>
    <row r="12" spans="1:4" x14ac:dyDescent="0.3">
      <c r="A12" t="s">
        <v>15</v>
      </c>
      <c r="B12" t="s">
        <v>6</v>
      </c>
      <c r="C12" t="s">
        <v>4</v>
      </c>
      <c r="D12">
        <v>0.63</v>
      </c>
    </row>
    <row r="13" spans="1:4" x14ac:dyDescent="0.3">
      <c r="A13" t="s">
        <v>15</v>
      </c>
      <c r="B13" t="s">
        <v>6</v>
      </c>
      <c r="C13" t="s">
        <v>17</v>
      </c>
      <c r="D13">
        <v>0.63</v>
      </c>
    </row>
    <row r="14" spans="1:4" x14ac:dyDescent="0.3">
      <c r="A14" t="s">
        <v>15</v>
      </c>
      <c r="B14" t="s">
        <v>7</v>
      </c>
      <c r="C14" t="s">
        <v>3</v>
      </c>
      <c r="D14">
        <v>0.04</v>
      </c>
    </row>
    <row r="15" spans="1:4" x14ac:dyDescent="0.3">
      <c r="A15" t="s">
        <v>15</v>
      </c>
      <c r="B15" t="s">
        <v>7</v>
      </c>
      <c r="C15" t="s">
        <v>4</v>
      </c>
      <c r="D15">
        <v>0.04</v>
      </c>
    </row>
    <row r="16" spans="1:4" x14ac:dyDescent="0.3">
      <c r="A16" t="s">
        <v>15</v>
      </c>
      <c r="B16" t="s">
        <v>7</v>
      </c>
      <c r="C16" t="s">
        <v>17</v>
      </c>
      <c r="D16">
        <v>0.04</v>
      </c>
    </row>
    <row r="17" spans="1:4" x14ac:dyDescent="0.3">
      <c r="A17" t="s">
        <v>15</v>
      </c>
      <c r="B17" t="s">
        <v>8</v>
      </c>
      <c r="C17" t="s">
        <v>3</v>
      </c>
      <c r="D17">
        <v>0.13</v>
      </c>
    </row>
    <row r="18" spans="1:4" x14ac:dyDescent="0.3">
      <c r="A18" t="s">
        <v>15</v>
      </c>
      <c r="B18" t="s">
        <v>8</v>
      </c>
      <c r="C18" t="s">
        <v>4</v>
      </c>
      <c r="D18">
        <v>0.13</v>
      </c>
    </row>
    <row r="19" spans="1:4" x14ac:dyDescent="0.3">
      <c r="A19" t="s">
        <v>15</v>
      </c>
      <c r="B19" t="s">
        <v>8</v>
      </c>
      <c r="C19" t="s">
        <v>17</v>
      </c>
      <c r="D19">
        <v>0.13</v>
      </c>
    </row>
    <row r="20" spans="1:4" x14ac:dyDescent="0.3">
      <c r="A20" t="s">
        <v>15</v>
      </c>
      <c r="B20" t="s">
        <v>9</v>
      </c>
      <c r="C20" t="s">
        <v>3</v>
      </c>
      <c r="D20">
        <v>0.14000000000000001</v>
      </c>
    </row>
    <row r="21" spans="1:4" x14ac:dyDescent="0.3">
      <c r="A21" t="s">
        <v>15</v>
      </c>
      <c r="B21" t="s">
        <v>9</v>
      </c>
      <c r="C21" t="s">
        <v>4</v>
      </c>
      <c r="D21">
        <v>0.14000000000000001</v>
      </c>
    </row>
    <row r="22" spans="1:4" x14ac:dyDescent="0.3">
      <c r="A22" t="s">
        <v>15</v>
      </c>
      <c r="B22" t="s">
        <v>9</v>
      </c>
      <c r="C22" t="s">
        <v>17</v>
      </c>
      <c r="D22">
        <v>0.14000000000000001</v>
      </c>
    </row>
    <row r="23" spans="1:4" x14ac:dyDescent="0.3">
      <c r="A23" t="s">
        <v>15</v>
      </c>
      <c r="B23" t="s">
        <v>10</v>
      </c>
      <c r="C23" t="s">
        <v>3</v>
      </c>
      <c r="D23">
        <v>0.83</v>
      </c>
    </row>
    <row r="24" spans="1:4" x14ac:dyDescent="0.3">
      <c r="A24" t="s">
        <v>15</v>
      </c>
      <c r="B24" t="s">
        <v>10</v>
      </c>
      <c r="C24" t="s">
        <v>4</v>
      </c>
      <c r="D24">
        <v>0.83</v>
      </c>
    </row>
    <row r="25" spans="1:4" x14ac:dyDescent="0.3">
      <c r="A25" t="s">
        <v>15</v>
      </c>
      <c r="B25" t="s">
        <v>10</v>
      </c>
      <c r="C25" t="s">
        <v>17</v>
      </c>
      <c r="D25">
        <v>0</v>
      </c>
    </row>
    <row r="26" spans="1:4" x14ac:dyDescent="0.3">
      <c r="A26" t="s">
        <v>15</v>
      </c>
      <c r="B26" t="s">
        <v>11</v>
      </c>
      <c r="C26" t="s">
        <v>3</v>
      </c>
      <c r="D26">
        <v>0.28999999999999998</v>
      </c>
    </row>
    <row r="27" spans="1:4" x14ac:dyDescent="0.3">
      <c r="A27" t="s">
        <v>15</v>
      </c>
      <c r="B27" t="s">
        <v>11</v>
      </c>
      <c r="C27" t="s">
        <v>4</v>
      </c>
      <c r="D27">
        <v>0.28999999999999998</v>
      </c>
    </row>
    <row r="28" spans="1:4" x14ac:dyDescent="0.3">
      <c r="A28" t="s">
        <v>15</v>
      </c>
      <c r="B28" t="s">
        <v>11</v>
      </c>
      <c r="C28" t="s">
        <v>17</v>
      </c>
      <c r="D28">
        <v>0.28999999999999998</v>
      </c>
    </row>
    <row r="29" spans="1:4" x14ac:dyDescent="0.3">
      <c r="A29" t="s">
        <v>15</v>
      </c>
      <c r="B29" t="s">
        <v>12</v>
      </c>
      <c r="C29" t="s">
        <v>3</v>
      </c>
      <c r="D29">
        <v>0.14000000000000001</v>
      </c>
    </row>
    <row r="30" spans="1:4" x14ac:dyDescent="0.3">
      <c r="A30" t="s">
        <v>15</v>
      </c>
      <c r="B30" t="s">
        <v>12</v>
      </c>
      <c r="C30" t="s">
        <v>4</v>
      </c>
      <c r="D30">
        <v>0.14000000000000001</v>
      </c>
    </row>
    <row r="31" spans="1:4" x14ac:dyDescent="0.3">
      <c r="A31" t="s">
        <v>15</v>
      </c>
      <c r="B31" t="s">
        <v>12</v>
      </c>
      <c r="C31" t="s">
        <v>17</v>
      </c>
      <c r="D31">
        <v>0.14000000000000001</v>
      </c>
    </row>
    <row r="32" spans="1:4" x14ac:dyDescent="0.3">
      <c r="A32" t="s">
        <v>15</v>
      </c>
      <c r="B32" t="s">
        <v>13</v>
      </c>
      <c r="C32" t="s">
        <v>3</v>
      </c>
      <c r="D32">
        <v>0.22</v>
      </c>
    </row>
    <row r="33" spans="1:4" x14ac:dyDescent="0.3">
      <c r="A33" t="s">
        <v>15</v>
      </c>
      <c r="B33" t="s">
        <v>13</v>
      </c>
      <c r="C33" t="s">
        <v>4</v>
      </c>
      <c r="D33">
        <v>0.22</v>
      </c>
    </row>
    <row r="34" spans="1:4" x14ac:dyDescent="0.3">
      <c r="A34" t="s">
        <v>15</v>
      </c>
      <c r="B34" t="s">
        <v>13</v>
      </c>
      <c r="C34" t="s">
        <v>17</v>
      </c>
      <c r="D34">
        <v>0.22</v>
      </c>
    </row>
    <row r="35" spans="1:4" x14ac:dyDescent="0.3">
      <c r="A35" t="s">
        <v>15</v>
      </c>
      <c r="B35" t="s">
        <v>14</v>
      </c>
      <c r="C35" t="s">
        <v>3</v>
      </c>
      <c r="D35">
        <v>0.65</v>
      </c>
    </row>
    <row r="36" spans="1:4" x14ac:dyDescent="0.3">
      <c r="A36" t="s">
        <v>15</v>
      </c>
      <c r="B36" t="s">
        <v>14</v>
      </c>
      <c r="C36" t="s">
        <v>4</v>
      </c>
      <c r="D36">
        <v>0.65</v>
      </c>
    </row>
    <row r="37" spans="1:4" x14ac:dyDescent="0.3">
      <c r="A37" t="s">
        <v>15</v>
      </c>
      <c r="B37" t="s">
        <v>14</v>
      </c>
      <c r="C37" t="s">
        <v>17</v>
      </c>
      <c r="D37">
        <v>1.1299999999999999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EACA-71E3-4ED8-AEAC-460CD4CDB3A8}">
  <dimension ref="A2:B16"/>
  <sheetViews>
    <sheetView zoomScale="70" zoomScaleNormal="70" workbookViewId="0">
      <selection activeCell="A9" sqref="A9"/>
    </sheetView>
  </sheetViews>
  <sheetFormatPr defaultRowHeight="14.4" x14ac:dyDescent="0.3"/>
  <cols>
    <col min="1" max="1" width="125.77734375" bestFit="1" customWidth="1"/>
    <col min="2" max="2" width="34" bestFit="1" customWidth="1"/>
  </cols>
  <sheetData>
    <row r="2" spans="1:2" x14ac:dyDescent="0.3">
      <c r="A2" s="1" t="s">
        <v>2</v>
      </c>
      <c r="B2" t="s">
        <v>23</v>
      </c>
    </row>
    <row r="4" spans="1:2" x14ac:dyDescent="0.3">
      <c r="A4" s="1" t="s">
        <v>20</v>
      </c>
      <c r="B4" t="s">
        <v>22</v>
      </c>
    </row>
    <row r="5" spans="1:2" x14ac:dyDescent="0.3">
      <c r="A5" s="2" t="s">
        <v>15</v>
      </c>
      <c r="B5">
        <v>10.159999999999998</v>
      </c>
    </row>
    <row r="6" spans="1:2" x14ac:dyDescent="0.3">
      <c r="A6" s="3" t="s">
        <v>5</v>
      </c>
      <c r="B6">
        <v>0.54</v>
      </c>
    </row>
    <row r="7" spans="1:2" x14ac:dyDescent="0.3">
      <c r="A7" s="3" t="s">
        <v>19</v>
      </c>
      <c r="B7">
        <v>3.1899999999999995</v>
      </c>
    </row>
    <row r="8" spans="1:2" x14ac:dyDescent="0.3">
      <c r="A8" s="3" t="s">
        <v>6</v>
      </c>
      <c r="B8">
        <v>1.8900000000000001</v>
      </c>
    </row>
    <row r="9" spans="1:2" x14ac:dyDescent="0.3">
      <c r="A9" s="3" t="s">
        <v>7</v>
      </c>
      <c r="B9">
        <v>0.12</v>
      </c>
    </row>
    <row r="10" spans="1:2" x14ac:dyDescent="0.3">
      <c r="A10" s="3" t="s">
        <v>8</v>
      </c>
      <c r="B10">
        <v>0.39</v>
      </c>
    </row>
    <row r="11" spans="1:2" x14ac:dyDescent="0.3">
      <c r="A11" s="3" t="s">
        <v>9</v>
      </c>
      <c r="B11">
        <v>0.42000000000000004</v>
      </c>
    </row>
    <row r="12" spans="1:2" x14ac:dyDescent="0.3">
      <c r="A12" s="3" t="s">
        <v>10</v>
      </c>
      <c r="B12">
        <v>1.66</v>
      </c>
    </row>
    <row r="13" spans="1:2" x14ac:dyDescent="0.3">
      <c r="A13" s="3" t="s">
        <v>11</v>
      </c>
      <c r="B13">
        <v>0.86999999999999988</v>
      </c>
    </row>
    <row r="14" spans="1:2" x14ac:dyDescent="0.3">
      <c r="A14" s="3" t="s">
        <v>12</v>
      </c>
      <c r="B14">
        <v>0.42000000000000004</v>
      </c>
    </row>
    <row r="15" spans="1:2" x14ac:dyDescent="0.3">
      <c r="A15" s="3" t="s">
        <v>13</v>
      </c>
      <c r="B15">
        <v>0.66</v>
      </c>
    </row>
    <row r="16" spans="1:2" x14ac:dyDescent="0.3">
      <c r="A16" s="2" t="s">
        <v>21</v>
      </c>
      <c r="B16">
        <v>10.159999999999998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7700-684F-4309-88F7-0A4E89F69FB3}">
  <dimension ref="A1:B16"/>
  <sheetViews>
    <sheetView tabSelected="1" zoomScale="70" zoomScaleNormal="70" workbookViewId="0">
      <selection activeCell="A9" sqref="A9"/>
    </sheetView>
  </sheetViews>
  <sheetFormatPr defaultRowHeight="14.4" x14ac:dyDescent="0.3"/>
  <cols>
    <col min="1" max="1" width="129.88671875" bestFit="1" customWidth="1"/>
    <col min="2" max="2" width="34.21875" bestFit="1" customWidth="1"/>
  </cols>
  <sheetData>
    <row r="1" spans="1:2" x14ac:dyDescent="0.3">
      <c r="A1" s="1" t="s">
        <v>2</v>
      </c>
      <c r="B1" t="s">
        <v>3</v>
      </c>
    </row>
    <row r="3" spans="1:2" x14ac:dyDescent="0.3">
      <c r="A3" s="1" t="s">
        <v>20</v>
      </c>
      <c r="B3" t="s">
        <v>22</v>
      </c>
    </row>
    <row r="4" spans="1:2" x14ac:dyDescent="0.3">
      <c r="A4" s="2" t="s">
        <v>15</v>
      </c>
      <c r="B4" s="4">
        <v>4.8099999999999996</v>
      </c>
    </row>
    <row r="5" spans="1:2" x14ac:dyDescent="0.3">
      <c r="A5" s="3" t="s">
        <v>5</v>
      </c>
      <c r="B5" s="4">
        <v>0.18</v>
      </c>
    </row>
    <row r="6" spans="1:2" x14ac:dyDescent="0.3">
      <c r="A6" s="3" t="s">
        <v>12</v>
      </c>
      <c r="B6" s="4">
        <v>0.14000000000000001</v>
      </c>
    </row>
    <row r="7" spans="1:2" x14ac:dyDescent="0.3">
      <c r="A7" s="3" t="s">
        <v>10</v>
      </c>
      <c r="B7" s="4">
        <v>0.83</v>
      </c>
    </row>
    <row r="8" spans="1:2" x14ac:dyDescent="0.3">
      <c r="A8" s="3" t="s">
        <v>11</v>
      </c>
      <c r="B8" s="4">
        <v>0.28999999999999998</v>
      </c>
    </row>
    <row r="9" spans="1:2" x14ac:dyDescent="0.3">
      <c r="A9" s="3" t="s">
        <v>13</v>
      </c>
      <c r="B9" s="4">
        <v>0.22</v>
      </c>
    </row>
    <row r="10" spans="1:2" x14ac:dyDescent="0.3">
      <c r="A10" s="3" t="s">
        <v>18</v>
      </c>
      <c r="B10" s="4">
        <v>1.56</v>
      </c>
    </row>
    <row r="11" spans="1:2" x14ac:dyDescent="0.3">
      <c r="A11" s="3" t="s">
        <v>14</v>
      </c>
      <c r="B11" s="4">
        <v>0.65</v>
      </c>
    </row>
    <row r="12" spans="1:2" x14ac:dyDescent="0.3">
      <c r="A12" s="3" t="s">
        <v>9</v>
      </c>
      <c r="B12" s="4">
        <v>0.14000000000000001</v>
      </c>
    </row>
    <row r="13" spans="1:2" x14ac:dyDescent="0.3">
      <c r="A13" s="3" t="s">
        <v>8</v>
      </c>
      <c r="B13" s="4">
        <v>0.13</v>
      </c>
    </row>
    <row r="14" spans="1:2" x14ac:dyDescent="0.3">
      <c r="A14" s="3" t="s">
        <v>7</v>
      </c>
      <c r="B14" s="4">
        <v>0.04</v>
      </c>
    </row>
    <row r="15" spans="1:2" x14ac:dyDescent="0.3">
      <c r="A15" s="3" t="s">
        <v>6</v>
      </c>
      <c r="B15" s="4">
        <v>0.63</v>
      </c>
    </row>
    <row r="16" spans="1:2" x14ac:dyDescent="0.3">
      <c r="A16" s="2" t="s">
        <v>21</v>
      </c>
      <c r="B16" s="4">
        <v>4.8099999999999996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Плоская v1</vt:lpstr>
      <vt:lpstr>Сводная v1</vt:lpstr>
      <vt:lpstr>Сводная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AlxBuk</dc:creator>
  <cp:lastModifiedBy>AlxBuk</cp:lastModifiedBy>
  <dcterms:created xsi:type="dcterms:W3CDTF">2025-09-23T16:00:48Z</dcterms:created>
  <dcterms:modified xsi:type="dcterms:W3CDTF">2025-09-24T06:13:10Z</dcterms:modified>
</cp:coreProperties>
</file>