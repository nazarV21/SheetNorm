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xBuk\Desktop\Основы работы с данными\Основы работы с данными - Примеры\"/>
    </mc:Choice>
  </mc:AlternateContent>
  <xr:revisionPtr revIDLastSave="0" documentId="13_ncr:1_{3540DFE3-FC18-41C2-B1D5-81E9D0BBF7C2}" xr6:coauthVersionLast="47" xr6:coauthVersionMax="47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Эффекты 2024 г. (ЦУД)" sheetId="3" state="hidden" r:id="rId1"/>
    <sheet name="Прогноз 9+3 (2024). ЦУД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0" l="1"/>
  <c r="R26" i="10"/>
  <c r="R25" i="10"/>
  <c r="P24" i="10"/>
  <c r="R24" i="10" s="1"/>
  <c r="O24" i="10"/>
  <c r="N24" i="10"/>
  <c r="R22" i="10"/>
  <c r="R21" i="10"/>
  <c r="R20" i="10"/>
  <c r="R19" i="10"/>
  <c r="R18" i="10"/>
  <c r="R17" i="10"/>
  <c r="P16" i="10"/>
  <c r="O16" i="10"/>
  <c r="N16" i="10"/>
  <c r="R14" i="10"/>
  <c r="R13" i="10"/>
  <c r="R12" i="10"/>
  <c r="R11" i="10"/>
  <c r="R10" i="10"/>
  <c r="R9" i="10"/>
  <c r="R8" i="10"/>
  <c r="P6" i="10"/>
  <c r="O6" i="10"/>
  <c r="N6" i="10"/>
  <c r="R6" i="10" l="1"/>
  <c r="N28" i="10"/>
  <c r="R16" i="10"/>
  <c r="O28" i="10"/>
  <c r="P28" i="10"/>
  <c r="R28" i="10" s="1"/>
  <c r="AL18" i="3" l="1"/>
  <c r="AL17" i="3"/>
  <c r="AL16" i="3"/>
  <c r="AL15" i="3"/>
  <c r="AL14" i="3"/>
  <c r="AL13" i="3"/>
  <c r="AL12" i="3"/>
  <c r="AL11" i="3"/>
  <c r="AL10" i="3"/>
  <c r="AI20" i="3"/>
  <c r="AJ20" i="3"/>
  <c r="AI8" i="3" l="1"/>
  <c r="BN8" i="3"/>
  <c r="BL8" i="3"/>
  <c r="BP31" i="3"/>
  <c r="BN31" i="3"/>
  <c r="BL31" i="3"/>
  <c r="BP8" i="3"/>
  <c r="BH33" i="3"/>
  <c r="BF33" i="3"/>
  <c r="BD33" i="3"/>
  <c r="BH32" i="3"/>
  <c r="BI32" i="3" s="1"/>
  <c r="BF32" i="3"/>
  <c r="BG32" i="3" s="1"/>
  <c r="BD32" i="3"/>
  <c r="BE32" i="3" s="1"/>
  <c r="BH29" i="3"/>
  <c r="BI29" i="3" s="1"/>
  <c r="BF29" i="3"/>
  <c r="BG29" i="3" s="1"/>
  <c r="BD29" i="3"/>
  <c r="BE29" i="3" s="1"/>
  <c r="BH28" i="3"/>
  <c r="BI28" i="3" s="1"/>
  <c r="BF28" i="3"/>
  <c r="BG28" i="3" s="1"/>
  <c r="BD28" i="3"/>
  <c r="BE28" i="3" s="1"/>
  <c r="Y27" i="3"/>
  <c r="BH27" i="3" s="1"/>
  <c r="BH26" i="3"/>
  <c r="BI26" i="3" s="1"/>
  <c r="BF26" i="3"/>
  <c r="BG26" i="3" s="1"/>
  <c r="BD26" i="3"/>
  <c r="BE26" i="3" s="1"/>
  <c r="BH25" i="3"/>
  <c r="BI25" i="3" s="1"/>
  <c r="BF25" i="3"/>
  <c r="BG25" i="3" s="1"/>
  <c r="BD25" i="3"/>
  <c r="BE25" i="3" s="1"/>
  <c r="BH24" i="3"/>
  <c r="BI24" i="3" s="1"/>
  <c r="BF24" i="3"/>
  <c r="BG24" i="3" s="1"/>
  <c r="BD24" i="3"/>
  <c r="BE24" i="3" s="1"/>
  <c r="AB20" i="3"/>
  <c r="Z23" i="3"/>
  <c r="Y23" i="3"/>
  <c r="BH23" i="3" s="1"/>
  <c r="BH22" i="3"/>
  <c r="BI22" i="3" s="1"/>
  <c r="BF22" i="3"/>
  <c r="BG22" i="3" s="1"/>
  <c r="BD22" i="3"/>
  <c r="BE22" i="3" s="1"/>
  <c r="BH21" i="3"/>
  <c r="BI21" i="3" s="1"/>
  <c r="BF21" i="3"/>
  <c r="BG21" i="3" s="1"/>
  <c r="BD21" i="3"/>
  <c r="BE21" i="3" s="1"/>
  <c r="BI18" i="3"/>
  <c r="BH18" i="3"/>
  <c r="BG18" i="3"/>
  <c r="BF18" i="3"/>
  <c r="BE18" i="3"/>
  <c r="BD18" i="3"/>
  <c r="BI17" i="3"/>
  <c r="BH17" i="3"/>
  <c r="BG17" i="3"/>
  <c r="BF17" i="3"/>
  <c r="BE17" i="3"/>
  <c r="BD17" i="3"/>
  <c r="BI16" i="3"/>
  <c r="BH16" i="3"/>
  <c r="BG16" i="3"/>
  <c r="BF16" i="3"/>
  <c r="BE16" i="3"/>
  <c r="BD16" i="3"/>
  <c r="BI15" i="3"/>
  <c r="BH15" i="3"/>
  <c r="BG15" i="3"/>
  <c r="BF15" i="3"/>
  <c r="BE15" i="3"/>
  <c r="BD15" i="3"/>
  <c r="BI14" i="3"/>
  <c r="BH14" i="3"/>
  <c r="BG14" i="3"/>
  <c r="BF14" i="3"/>
  <c r="BE14" i="3"/>
  <c r="BD14" i="3"/>
  <c r="BI13" i="3"/>
  <c r="BH13" i="3"/>
  <c r="BG13" i="3"/>
  <c r="BF13" i="3"/>
  <c r="BE13" i="3"/>
  <c r="BD13" i="3"/>
  <c r="BI12" i="3"/>
  <c r="BH12" i="3"/>
  <c r="BG12" i="3"/>
  <c r="BF12" i="3"/>
  <c r="BE12" i="3"/>
  <c r="BD12" i="3"/>
  <c r="BI11" i="3"/>
  <c r="BH11" i="3"/>
  <c r="BG11" i="3"/>
  <c r="BF11" i="3"/>
  <c r="BE11" i="3"/>
  <c r="BD11" i="3"/>
  <c r="BI10" i="3"/>
  <c r="BH10" i="3"/>
  <c r="BG10" i="3"/>
  <c r="BF10" i="3"/>
  <c r="BE10" i="3"/>
  <c r="BD10" i="3"/>
  <c r="BI9" i="3"/>
  <c r="BG9" i="3"/>
  <c r="BE9" i="3"/>
  <c r="BH9" i="3"/>
  <c r="BF9" i="3"/>
  <c r="BD9" i="3"/>
  <c r="BB33" i="3"/>
  <c r="BA33" i="3"/>
  <c r="AZ33" i="3"/>
  <c r="AY33" i="3"/>
  <c r="AX33" i="3"/>
  <c r="AW33" i="3"/>
  <c r="BB32" i="3"/>
  <c r="BA32" i="3"/>
  <c r="AZ32" i="3"/>
  <c r="AY32" i="3"/>
  <c r="AX32" i="3"/>
  <c r="AW32" i="3"/>
  <c r="BB29" i="3"/>
  <c r="BA29" i="3"/>
  <c r="AZ29" i="3"/>
  <c r="AY29" i="3"/>
  <c r="AX29" i="3"/>
  <c r="AW29" i="3"/>
  <c r="BB28" i="3"/>
  <c r="BA28" i="3"/>
  <c r="AZ28" i="3"/>
  <c r="AY28" i="3"/>
  <c r="AX28" i="3"/>
  <c r="AW28" i="3"/>
  <c r="BB27" i="3"/>
  <c r="BA27" i="3"/>
  <c r="AZ27" i="3"/>
  <c r="AY27" i="3"/>
  <c r="AX27" i="3"/>
  <c r="AW27" i="3"/>
  <c r="BB26" i="3"/>
  <c r="BA26" i="3"/>
  <c r="AZ26" i="3"/>
  <c r="AY26" i="3"/>
  <c r="AX26" i="3"/>
  <c r="AW26" i="3"/>
  <c r="BB25" i="3"/>
  <c r="BA25" i="3"/>
  <c r="AZ25" i="3"/>
  <c r="AY25" i="3"/>
  <c r="AX25" i="3"/>
  <c r="AW25" i="3"/>
  <c r="BB24" i="3"/>
  <c r="BA24" i="3"/>
  <c r="AZ24" i="3"/>
  <c r="AY24" i="3"/>
  <c r="AX24" i="3"/>
  <c r="AW24" i="3"/>
  <c r="BB23" i="3"/>
  <c r="BA23" i="3"/>
  <c r="AZ23" i="3"/>
  <c r="AY23" i="3"/>
  <c r="AX23" i="3"/>
  <c r="AW23" i="3"/>
  <c r="BB22" i="3"/>
  <c r="BA22" i="3"/>
  <c r="AZ22" i="3"/>
  <c r="AY22" i="3"/>
  <c r="AX22" i="3"/>
  <c r="AW22" i="3"/>
  <c r="BB21" i="3"/>
  <c r="BA21" i="3"/>
  <c r="AZ21" i="3"/>
  <c r="AY21" i="3"/>
  <c r="AX21" i="3"/>
  <c r="AW21" i="3"/>
  <c r="BB18" i="3"/>
  <c r="BA18" i="3"/>
  <c r="AZ18" i="3"/>
  <c r="AY18" i="3"/>
  <c r="AX18" i="3"/>
  <c r="AW18" i="3"/>
  <c r="BB17" i="3"/>
  <c r="BA17" i="3"/>
  <c r="AZ17" i="3"/>
  <c r="AY17" i="3"/>
  <c r="AX17" i="3"/>
  <c r="AW17" i="3"/>
  <c r="BB16" i="3"/>
  <c r="BA16" i="3"/>
  <c r="AZ16" i="3"/>
  <c r="AY16" i="3"/>
  <c r="AX16" i="3"/>
  <c r="AW16" i="3"/>
  <c r="BB15" i="3"/>
  <c r="BA15" i="3"/>
  <c r="AZ15" i="3"/>
  <c r="AY15" i="3"/>
  <c r="AX15" i="3"/>
  <c r="AW15" i="3"/>
  <c r="BB14" i="3"/>
  <c r="BA14" i="3"/>
  <c r="AZ14" i="3"/>
  <c r="AY14" i="3"/>
  <c r="AX14" i="3"/>
  <c r="AW14" i="3"/>
  <c r="BB13" i="3"/>
  <c r="BA13" i="3"/>
  <c r="AZ13" i="3"/>
  <c r="AY13" i="3"/>
  <c r="AX13" i="3"/>
  <c r="AW13" i="3"/>
  <c r="BB12" i="3"/>
  <c r="BA12" i="3"/>
  <c r="AZ12" i="3"/>
  <c r="AY12" i="3"/>
  <c r="AX12" i="3"/>
  <c r="AW12" i="3"/>
  <c r="BB11" i="3"/>
  <c r="BA11" i="3"/>
  <c r="AZ11" i="3"/>
  <c r="AY11" i="3"/>
  <c r="AX11" i="3"/>
  <c r="AW11" i="3"/>
  <c r="BB10" i="3"/>
  <c r="BA10" i="3"/>
  <c r="AZ10" i="3"/>
  <c r="AY10" i="3"/>
  <c r="AX10" i="3"/>
  <c r="AW10" i="3"/>
  <c r="BB9" i="3"/>
  <c r="BA9" i="3"/>
  <c r="AZ9" i="3"/>
  <c r="AY9" i="3"/>
  <c r="AX9" i="3"/>
  <c r="AW9" i="3"/>
  <c r="AT33" i="3"/>
  <c r="AT32" i="3"/>
  <c r="AR31" i="3"/>
  <c r="AQ31" i="3"/>
  <c r="AT29" i="3"/>
  <c r="AT28" i="3"/>
  <c r="AT27" i="3"/>
  <c r="AT26" i="3"/>
  <c r="AT25" i="3"/>
  <c r="AT24" i="3"/>
  <c r="AT23" i="3"/>
  <c r="AT22" i="3"/>
  <c r="AT21" i="3"/>
  <c r="AR20" i="3"/>
  <c r="AQ20" i="3"/>
  <c r="AT18" i="3"/>
  <c r="AT17" i="3"/>
  <c r="AT16" i="3"/>
  <c r="AT15" i="3"/>
  <c r="AT13" i="3"/>
  <c r="AT12" i="3"/>
  <c r="AT11" i="3"/>
  <c r="AT10" i="3"/>
  <c r="AT9" i="3"/>
  <c r="AR8" i="3"/>
  <c r="AQ8" i="3"/>
  <c r="AL33" i="3"/>
  <c r="AL32" i="3"/>
  <c r="AJ31" i="3"/>
  <c r="AI31" i="3"/>
  <c r="AL27" i="3"/>
  <c r="AL26" i="3"/>
  <c r="AL25" i="3"/>
  <c r="AL24" i="3"/>
  <c r="AL23" i="3"/>
  <c r="AL22" i="3"/>
  <c r="AL21" i="3"/>
  <c r="AL9" i="3"/>
  <c r="AJ8" i="3"/>
  <c r="AA8" i="3"/>
  <c r="AD33" i="3"/>
  <c r="AD32" i="3"/>
  <c r="AB31" i="3"/>
  <c r="AD29" i="3"/>
  <c r="AD28" i="3"/>
  <c r="AD27" i="3"/>
  <c r="AD26" i="3"/>
  <c r="AD25" i="3"/>
  <c r="AD24" i="3"/>
  <c r="AD23" i="3"/>
  <c r="AD22" i="3"/>
  <c r="AD21" i="3"/>
  <c r="AD18" i="3"/>
  <c r="AD17" i="3"/>
  <c r="AD16" i="3"/>
  <c r="AD15" i="3"/>
  <c r="AD13" i="3"/>
  <c r="AD12" i="3"/>
  <c r="AD11" i="3"/>
  <c r="AD10" i="3"/>
  <c r="AD9" i="3"/>
  <c r="AB8" i="3"/>
  <c r="AA33" i="3" l="1"/>
  <c r="AA23" i="3"/>
  <c r="BG8" i="3"/>
  <c r="AL31" i="3"/>
  <c r="BP20" i="3"/>
  <c r="BP35" i="3" s="1"/>
  <c r="BL20" i="3"/>
  <c r="BL35" i="3" s="1"/>
  <c r="BN20" i="3"/>
  <c r="BN35" i="3" s="1"/>
  <c r="AA32" i="3"/>
  <c r="BD27" i="3"/>
  <c r="AA27" i="3" s="1"/>
  <c r="BF27" i="3"/>
  <c r="AA22" i="3"/>
  <c r="BE8" i="3"/>
  <c r="AT31" i="3"/>
  <c r="BF23" i="3"/>
  <c r="BD23" i="3"/>
  <c r="AA24" i="3"/>
  <c r="AJ35" i="3"/>
  <c r="AA25" i="3"/>
  <c r="AA28" i="3"/>
  <c r="AA29" i="3"/>
  <c r="AA26" i="3"/>
  <c r="AA21" i="3"/>
  <c r="BI8" i="3"/>
  <c r="AR35" i="3"/>
  <c r="AQ35" i="3"/>
  <c r="AT8" i="3"/>
  <c r="AI35" i="3"/>
  <c r="BB20" i="3"/>
  <c r="AT20" i="3"/>
  <c r="AL20" i="3"/>
  <c r="AL8" i="3"/>
  <c r="AD31" i="3"/>
  <c r="AZ20" i="3"/>
  <c r="AX20" i="3"/>
  <c r="AX31" i="3"/>
  <c r="AZ31" i="3"/>
  <c r="AX8" i="3"/>
  <c r="BB31" i="3"/>
  <c r="AZ8" i="3"/>
  <c r="BB8" i="3"/>
  <c r="BE31" i="3"/>
  <c r="AD8" i="3"/>
  <c r="BG31" i="3"/>
  <c r="BI31" i="3"/>
  <c r="AB35" i="3"/>
  <c r="BI20" i="3"/>
  <c r="BE20" i="3"/>
  <c r="AD20" i="3"/>
  <c r="BG20" i="3"/>
  <c r="AA31" i="3" l="1"/>
  <c r="AA20" i="3"/>
  <c r="AT35" i="3"/>
  <c r="BB35" i="3"/>
  <c r="AX35" i="3"/>
  <c r="AL35" i="3"/>
  <c r="AZ35" i="3"/>
  <c r="BE35" i="3"/>
  <c r="AD35" i="3"/>
  <c r="BG35" i="3"/>
  <c r="BI35" i="3"/>
  <c r="AA35" i="3" l="1"/>
  <c r="V17" i="3"/>
  <c r="V16" i="3"/>
  <c r="N17" i="3"/>
  <c r="V13" i="3"/>
  <c r="T31" i="3" l="1"/>
  <c r="S31" i="3"/>
  <c r="M31" i="3"/>
  <c r="K31" i="3"/>
  <c r="T20" i="3"/>
  <c r="S20" i="3"/>
  <c r="M20" i="3"/>
  <c r="K20" i="3"/>
  <c r="T8" i="3"/>
  <c r="S8" i="3"/>
  <c r="M8" i="3"/>
  <c r="K8" i="3"/>
  <c r="K35" i="3" l="1"/>
  <c r="M35" i="3"/>
  <c r="S35" i="3"/>
  <c r="T35" i="3"/>
  <c r="N28" i="3" l="1"/>
  <c r="V33" i="3" l="1"/>
  <c r="N33" i="3"/>
  <c r="L33" i="3"/>
  <c r="V32" i="3"/>
  <c r="N32" i="3"/>
  <c r="L32" i="3"/>
  <c r="N31" i="3" l="1"/>
  <c r="V31" i="3"/>
  <c r="L21" i="3"/>
  <c r="N21" i="3"/>
  <c r="V28" i="3"/>
  <c r="V27" i="3"/>
  <c r="V26" i="3"/>
  <c r="V25" i="3"/>
  <c r="V24" i="3"/>
  <c r="V23" i="3"/>
  <c r="N29" i="3"/>
  <c r="N27" i="3"/>
  <c r="N26" i="3"/>
  <c r="N25" i="3"/>
  <c r="N24" i="3"/>
  <c r="N23" i="3"/>
  <c r="N22" i="3"/>
  <c r="L27" i="3"/>
  <c r="L26" i="3"/>
  <c r="L24" i="3"/>
  <c r="L23" i="3"/>
  <c r="L22" i="3"/>
  <c r="V29" i="3"/>
  <c r="V22" i="3"/>
  <c r="V21" i="3"/>
  <c r="N20" i="3" l="1"/>
  <c r="V20" i="3"/>
  <c r="V18" i="3" l="1"/>
  <c r="V15" i="3"/>
  <c r="V12" i="3"/>
  <c r="V11" i="3"/>
  <c r="V10" i="3"/>
  <c r="V9" i="3"/>
  <c r="L12" i="3"/>
  <c r="L9" i="3"/>
  <c r="N18" i="3"/>
  <c r="N16" i="3"/>
  <c r="N15" i="3"/>
  <c r="N12" i="3"/>
  <c r="N11" i="3"/>
  <c r="N10" i="3"/>
  <c r="N9" i="3"/>
  <c r="N8" i="3" l="1"/>
  <c r="N35" i="3" s="1"/>
  <c r="V8" i="3"/>
  <c r="V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Чичагин Михаил Юрьевич</author>
  </authors>
  <commentList>
    <comment ref="AA2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(- 4 660 тыс.руб.)</t>
        </r>
      </text>
    </comment>
    <comment ref="BE21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  <comment ref="BG21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  <comment ref="BI21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Эффект с учетом затрат на проведение ГТМ (- 1 553 тыс.руб.)</t>
        </r>
      </text>
    </comment>
  </commentList>
</comments>
</file>

<file path=xl/sharedStrings.xml><?xml version="1.0" encoding="utf-8"?>
<sst xmlns="http://schemas.openxmlformats.org/spreadsheetml/2006/main" count="500" uniqueCount="123">
  <si>
    <t>Проект</t>
  </si>
  <si>
    <t>Рычаг получения эффекта</t>
  </si>
  <si>
    <t>OIS Pipe</t>
  </si>
  <si>
    <t>UMV</t>
  </si>
  <si>
    <t>тыс. т.</t>
  </si>
  <si>
    <t>чел*час</t>
  </si>
  <si>
    <t>-</t>
  </si>
  <si>
    <t>ИМА</t>
  </si>
  <si>
    <t>IPM+DOF</t>
  </si>
  <si>
    <t>Сокращение ТРЗ</t>
  </si>
  <si>
    <t>ИПА</t>
  </si>
  <si>
    <t xml:space="preserve">Сокращение ТРЗ </t>
  </si>
  <si>
    <t>Увеличение дохода от сокращения недоборов нефти за счет совмещения мероприятий</t>
  </si>
  <si>
    <t>Эффект по OPEX</t>
  </si>
  <si>
    <t>маш/час</t>
  </si>
  <si>
    <t>Физика</t>
  </si>
  <si>
    <t>Деньги</t>
  </si>
  <si>
    <t xml:space="preserve"> Увеличение дохода от доп.  ГТМ с приростом - нефть</t>
  </si>
  <si>
    <t>Изменение стоимости ТРЗ на подготовку ИПА</t>
  </si>
  <si>
    <t xml:space="preserve">Снижение операционных затрат на СПТ </t>
  </si>
  <si>
    <t xml:space="preserve">Повышение уровня использования техники за счет минимизации простоев, снижение оплаты за простои  </t>
  </si>
  <si>
    <t>Снижение ТРЗ по модулю АПГД</t>
  </si>
  <si>
    <t>Снижение ТРЗ по модулю ОТМ</t>
  </si>
  <si>
    <t>Снижение затрат на сервис по инфраструктуре для модуля Контрольные скважины</t>
  </si>
  <si>
    <t>Категория
эффекта</t>
  </si>
  <si>
    <t xml:space="preserve">Эффект по добыче </t>
  </si>
  <si>
    <t>ТРЗ</t>
  </si>
  <si>
    <t>Инвест. показатель эффективности</t>
  </si>
  <si>
    <t>DMV</t>
  </si>
  <si>
    <t xml:space="preserve">Добыча нефти </t>
  </si>
  <si>
    <t>Сокращение  времени на подготовку ИПА</t>
  </si>
  <si>
    <t>Снижение маш.часов СПТ, работающих на месторождении</t>
  </si>
  <si>
    <t>Суммарное время простоя автотранспорта</t>
  </si>
  <si>
    <t>Суммарное сокращение ТРЗ</t>
  </si>
  <si>
    <t>Стоимость серверов в год</t>
  </si>
  <si>
    <t>час.</t>
  </si>
  <si>
    <t>чел/час</t>
  </si>
  <si>
    <t>тыс. руб.</t>
  </si>
  <si>
    <t>Единица
измерения</t>
  </si>
  <si>
    <t>Базовый ИПА</t>
  </si>
  <si>
    <t>Smart Service</t>
  </si>
  <si>
    <t>Модернизация и тиражирование СМА БРД</t>
  </si>
  <si>
    <t>Расчет графика добычи (РГД)</t>
  </si>
  <si>
    <t>Анализ прогноз график добычи (АПГД/ОТМ)</t>
  </si>
  <si>
    <t>№</t>
  </si>
  <si>
    <t>От АО «Мессояханефтегаз» эффект не подтверждается (исключить за счет увеличения статьи "совмещения мероприятий")</t>
  </si>
  <si>
    <t>На стадии ОПЭ. Ожидание перевода в промышленную эксплуатацию по-результату устранения замечаний</t>
  </si>
  <si>
    <t>От блока Операционного директора эффект не заявлялся</t>
  </si>
  <si>
    <t>Отклонение связано с отсутствием понимания по тиражированию мобильного приложения, согласно заявленного плана без тиража Мобилки</t>
  </si>
  <si>
    <t>Эффекты от блока Технического директора</t>
  </si>
  <si>
    <t>Проходит тестирование, выявлен ряд критичных замечаний</t>
  </si>
  <si>
    <t>Не начат период тестирования, зависимый ЦИ от тиража "РГД" ??</t>
  </si>
  <si>
    <t>Рассматриваем заявленный  эффект от инструмента "ОТМ"</t>
  </si>
  <si>
    <t>Пересмотр программы ЦиН</t>
  </si>
  <si>
    <t>СПекТР. Управление операционным и технологическим потенциалом</t>
  </si>
  <si>
    <t>ДАРС. Контроль отклонений и управление недоборами</t>
  </si>
  <si>
    <t>ТР 2.0. Инструменты оптимизации добычи и закачки</t>
  </si>
  <si>
    <t>Развитие ИС Мехфонд</t>
  </si>
  <si>
    <t>АСУ НПХ</t>
  </si>
  <si>
    <t>Сохранение добычи нефти за счет подбора дополнительных ГТМ на базовом фонде</t>
  </si>
  <si>
    <t>Добыча нефти</t>
  </si>
  <si>
    <t>Сокращение потерь нефти за счет сокращения ВСП и возврата к оптимальным параметрам ВР</t>
  </si>
  <si>
    <t>Сокращение ТРЗ на работу с аномалиями (поиск, формирование сводок и мониторинг мероприятий)</t>
  </si>
  <si>
    <t>Сохранение добычи нефти за счет мероприятий по УВЧ, подобранных с помощью ТР-2.0</t>
  </si>
  <si>
    <t>Сокращение ТРЗ на работу с потенциалом (экспертиза и мониторинг опер. потенциала) с помощью ТР-2.0</t>
  </si>
  <si>
    <t>Сокращения отклонений от плана добычи нефти путём оптимизации работы УЭЦН</t>
  </si>
  <si>
    <t>Сокращение ТРЗ на формирование отчетов и подбор ГНО</t>
  </si>
  <si>
    <t>Сокращение трудозатрат на химизацию</t>
  </si>
  <si>
    <t>Сокращение ТРЗ за счет автоматизации стандартных операций по отчетности трубопроводов</t>
  </si>
  <si>
    <t>Добыча</t>
  </si>
  <si>
    <t>Opex</t>
  </si>
  <si>
    <t>Блок директора по вводу новых мощностей (Перекрестов С.В.)</t>
  </si>
  <si>
    <t>Блок технического директора (Пряхин П.В.)</t>
  </si>
  <si>
    <t xml:space="preserve">Сокращение трудозатрат </t>
  </si>
  <si>
    <t>косвенный</t>
  </si>
  <si>
    <t>Эффекты, вошедшие в ПК на 2024 г.</t>
  </si>
  <si>
    <t>Повышение дохода за счет снижения потерь нефти от снижения потенциала простоя и оптимизации прост. фонда</t>
  </si>
  <si>
    <t>Увеличение ранней добычи нефти и увеличение сохраненной нефти за счет увеличения опер. и техн. потенциала ВМЛУ</t>
  </si>
  <si>
    <t>Изменения в ПК 2024 относительно оценки от Мессояхи</t>
  </si>
  <si>
    <t>Оценка потенциала на 2024 г. (совместно с ОД , октябрь 2023 г.)</t>
  </si>
  <si>
    <t>Физический параметр для мониторинга</t>
  </si>
  <si>
    <t>ФИЗИКА</t>
  </si>
  <si>
    <t>ДЕНЬГИ</t>
  </si>
  <si>
    <t>Факт 3 мес. на основании мониторинга</t>
  </si>
  <si>
    <t>Прогноз  3+9 Актуализированный годовой прогноз с учетом факта</t>
  </si>
  <si>
    <t>Комментарии к прогнозу 3+9</t>
  </si>
  <si>
    <t>Факт 6 мес. на основании мониторинга</t>
  </si>
  <si>
    <t>Выполнение ПК 
(от прогноза до конца года) на 2024 год, тысяч рублей</t>
  </si>
  <si>
    <t>ПРОДУКТ 5</t>
  </si>
  <si>
    <t>Январь (факт)</t>
  </si>
  <si>
    <t>Февраль (факт)</t>
  </si>
  <si>
    <t>Март (факт)</t>
  </si>
  <si>
    <t>Апрель (факт)</t>
  </si>
  <si>
    <t>Май (факт)</t>
  </si>
  <si>
    <t>Июнь (факт)</t>
  </si>
  <si>
    <t>Прогноз  6+6 Актуализированный годовой прогноз с учетом факта</t>
  </si>
  <si>
    <t>Комментарии к прогнозу 6+6</t>
  </si>
  <si>
    <t>ИТОГО</t>
  </si>
  <si>
    <t>Факт 9 мес. на основании мониторинга</t>
  </si>
  <si>
    <t>Прогноз  9+3 Актуализированный годовой прогноз с учетом факта</t>
  </si>
  <si>
    <t>Комментарии к прогнозу 9+3</t>
  </si>
  <si>
    <t>3 квартал 2024 года</t>
  </si>
  <si>
    <t>Стоимость 1 тн нефти :</t>
  </si>
  <si>
    <t>4 квартал 2024 года</t>
  </si>
  <si>
    <t>План на 2024 г. (ПК)</t>
  </si>
  <si>
    <t>По-месячный расчет на 1 кв. 2024 г.</t>
  </si>
  <si>
    <t>По-месячный расчет на 2 кв. 2024 г.</t>
  </si>
  <si>
    <t>1 квартал 2024 года (согласован)</t>
  </si>
  <si>
    <t>2 квартал 2024 года (согласован)</t>
  </si>
  <si>
    <t>По-месячный расчет на 3 кв. 2024 г.</t>
  </si>
  <si>
    <t>Июль (факт)</t>
  </si>
  <si>
    <t>Август (факт)</t>
  </si>
  <si>
    <t>Сентябрь (факт)</t>
  </si>
  <si>
    <t>Исключен эффект от МП ( поздняя реализация и необходимость доработки )</t>
  </si>
  <si>
    <t>Ранее эффект не учитывался</t>
  </si>
  <si>
    <t>2024 год</t>
  </si>
  <si>
    <t>% выполнения ПК 2024</t>
  </si>
  <si>
    <t>ПК 2024</t>
  </si>
  <si>
    <t>Факт 9 мес.</t>
  </si>
  <si>
    <t>Прогноз 9+3</t>
  </si>
  <si>
    <t>Увеличение дохода от доп.  ГТМ с приростом - нефть</t>
  </si>
  <si>
    <t>Снижение маш.часов СПТ, работающих на местор.</t>
  </si>
  <si>
    <t>СПекТР. Управление опер. и техн. потенциалом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</si>
</sst>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#,##0\ &quot;₽&quot;"/>
    <numFmt numFmtId="167" formatCode="0.0"/>
  </numFmts>
  <fonts count="18">
    <font>
      <sz val="11"/>
      <color theme="1"/>
      <name val="Calibri"/>
      <family val="2"/>
      <charset val="204"/>
      <scheme val="minor"/>
    </font>
    <font>
      <sz val="11"/>
      <color theme="1"/>
      <name val="DIN Pro Regular"/>
      <family val="2"/>
      <charset val="204"/>
    </font>
    <font>
      <sz val="11"/>
      <color theme="0"/>
      <name val="DIN Pro Regular"/>
      <family val="2"/>
      <charset val="204"/>
    </font>
    <font>
      <sz val="10"/>
      <color theme="1"/>
      <name val="DIN Pro Regular"/>
      <family val="2"/>
      <charset val="204"/>
    </font>
    <font>
      <sz val="10"/>
      <color theme="0"/>
      <name val="DIN Pro Regular"/>
      <family val="2"/>
      <charset val="204"/>
    </font>
    <font>
      <sz val="10"/>
      <name val="DIN Pro Regular"/>
      <family val="2"/>
      <charset val="204"/>
    </font>
    <font>
      <sz val="12"/>
      <color theme="0"/>
      <name val="DIN Pro Regular"/>
      <family val="2"/>
      <charset val="204"/>
    </font>
    <font>
      <b/>
      <sz val="14"/>
      <color theme="1"/>
      <name val="DIN Pro Regular"/>
      <family val="2"/>
      <charset val="204"/>
    </font>
    <font>
      <b/>
      <sz val="11"/>
      <color theme="1"/>
      <name val="DIN Pro Regular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b/>
      <sz val="18"/>
      <color rgb="FF0000FF"/>
      <name val="Calibri"/>
      <family val="2"/>
      <charset val="204"/>
    </font>
    <font>
      <b/>
      <sz val="18"/>
      <color rgb="FFC00000"/>
      <name val="Calibri"/>
      <family val="2"/>
      <charset val="204"/>
    </font>
    <font>
      <b/>
      <sz val="18"/>
      <name val="Calibri"/>
      <family val="2"/>
      <charset val="204"/>
    </font>
    <font>
      <b/>
      <sz val="16"/>
      <color theme="1"/>
      <name val="DIN Pro Regular"/>
      <family val="2"/>
      <charset val="204"/>
    </font>
    <font>
      <b/>
      <sz val="12"/>
      <color theme="1"/>
      <name val="DIN Pro Regular"/>
      <family val="2"/>
      <charset val="204"/>
    </font>
    <font>
      <b/>
      <sz val="14"/>
      <color theme="0"/>
      <name val="DIN Pro Regular"/>
      <family val="2"/>
      <charset val="204"/>
    </font>
    <font>
      <b/>
      <sz val="12"/>
      <color theme="0"/>
      <name val="DIN Pro Regular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8598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59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08599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D1FFF0"/>
        <bgColor indexed="64"/>
      </patternFill>
    </fill>
  </fills>
  <borders count="6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left" vertical="center" wrapText="1" indent="1"/>
    </xf>
    <xf numFmtId="3" fontId="3" fillId="5" borderId="11" xfId="0" applyNumberFormat="1" applyFont="1" applyFill="1" applyBorder="1" applyAlignment="1">
      <alignment horizontal="center" vertical="center" wrapText="1"/>
    </xf>
    <xf numFmtId="3" fontId="3" fillId="5" borderId="11" xfId="0" applyNumberFormat="1" applyFont="1" applyFill="1" applyBorder="1" applyAlignment="1">
      <alignment horizontal="left" vertical="top" wrapText="1" indent="1"/>
    </xf>
    <xf numFmtId="164" fontId="3" fillId="5" borderId="11" xfId="0" applyNumberFormat="1" applyFont="1" applyFill="1" applyBorder="1" applyAlignment="1">
      <alignment horizontal="center" vertical="center" wrapText="1"/>
    </xf>
    <xf numFmtId="165" fontId="3" fillId="5" borderId="11" xfId="0" applyNumberFormat="1" applyFont="1" applyFill="1" applyBorder="1" applyAlignment="1">
      <alignment horizontal="center" vertical="center" wrapText="1"/>
    </xf>
    <xf numFmtId="3" fontId="3" fillId="5" borderId="11" xfId="0" applyNumberFormat="1" applyFont="1" applyFill="1" applyBorder="1" applyAlignment="1">
      <alignment horizontal="left" vertical="center" wrapText="1" inden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 wrapText="1" indent="1"/>
    </xf>
    <xf numFmtId="0" fontId="3" fillId="5" borderId="14" xfId="0" applyFont="1" applyFill="1" applyBorder="1" applyAlignment="1">
      <alignment horizontal="lef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 wrapText="1" inden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left" vertical="center" wrapText="1" indent="1"/>
    </xf>
    <xf numFmtId="0" fontId="3" fillId="5" borderId="19" xfId="0" applyFont="1" applyFill="1" applyBorder="1" applyAlignment="1">
      <alignment horizontal="left" vertical="center" wrapText="1" indent="1"/>
    </xf>
    <xf numFmtId="165" fontId="3" fillId="5" borderId="12" xfId="0" applyNumberFormat="1" applyFont="1" applyFill="1" applyBorder="1" applyAlignment="1">
      <alignment horizontal="center" vertical="center" wrapText="1"/>
    </xf>
    <xf numFmtId="3" fontId="3" fillId="5" borderId="14" xfId="0" applyNumberFormat="1" applyFont="1" applyFill="1" applyBorder="1" applyAlignment="1">
      <alignment horizontal="center" vertical="center" wrapText="1"/>
    </xf>
    <xf numFmtId="165" fontId="3" fillId="5" borderId="15" xfId="0" applyNumberFormat="1" applyFont="1" applyFill="1" applyBorder="1" applyAlignment="1">
      <alignment horizontal="center" vertical="center" wrapText="1"/>
    </xf>
    <xf numFmtId="3" fontId="3" fillId="5" borderId="16" xfId="0" applyNumberFormat="1" applyFont="1" applyFill="1" applyBorder="1" applyAlignment="1">
      <alignment horizontal="center" vertical="center" wrapText="1"/>
    </xf>
    <xf numFmtId="3" fontId="3" fillId="5" borderId="15" xfId="0" applyNumberFormat="1" applyFont="1" applyFill="1" applyBorder="1" applyAlignment="1">
      <alignment horizontal="center" vertical="center" wrapText="1"/>
    </xf>
    <xf numFmtId="164" fontId="3" fillId="5" borderId="15" xfId="0" applyNumberFormat="1" applyFont="1" applyFill="1" applyBorder="1" applyAlignment="1">
      <alignment horizontal="center" vertical="center" wrapText="1"/>
    </xf>
    <xf numFmtId="3" fontId="3" fillId="5" borderId="17" xfId="0" applyNumberFormat="1" applyFont="1" applyFill="1" applyBorder="1" applyAlignment="1">
      <alignment horizontal="center" vertical="center" wrapText="1"/>
    </xf>
    <xf numFmtId="3" fontId="3" fillId="5" borderId="19" xfId="0" applyNumberFormat="1" applyFont="1" applyFill="1" applyBorder="1" applyAlignment="1">
      <alignment horizontal="center" vertical="center" wrapText="1"/>
    </xf>
    <xf numFmtId="165" fontId="3" fillId="5" borderId="13" xfId="0" applyNumberFormat="1" applyFont="1" applyFill="1" applyBorder="1" applyAlignment="1">
      <alignment horizontal="center" vertical="center" wrapText="1"/>
    </xf>
    <xf numFmtId="3" fontId="3" fillId="5" borderId="13" xfId="0" applyNumberFormat="1" applyFont="1" applyFill="1" applyBorder="1" applyAlignment="1">
      <alignment horizontal="center" vertical="center" wrapText="1"/>
    </xf>
    <xf numFmtId="3" fontId="3" fillId="5" borderId="13" xfId="0" applyNumberFormat="1" applyFont="1" applyFill="1" applyBorder="1" applyAlignment="1">
      <alignment horizontal="left" vertical="center" wrapText="1" indent="1"/>
    </xf>
    <xf numFmtId="3" fontId="3" fillId="5" borderId="18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left" vertical="center" wrapText="1" indent="1"/>
    </xf>
    <xf numFmtId="3" fontId="3" fillId="5" borderId="21" xfId="0" applyNumberFormat="1" applyFont="1" applyFill="1" applyBorder="1" applyAlignment="1">
      <alignment horizontal="center" vertical="center" wrapText="1"/>
    </xf>
    <xf numFmtId="3" fontId="3" fillId="5" borderId="22" xfId="0" applyNumberFormat="1" applyFont="1" applyFill="1" applyBorder="1" applyAlignment="1">
      <alignment horizontal="center" vertical="center" wrapText="1"/>
    </xf>
    <xf numFmtId="3" fontId="3" fillId="5" borderId="23" xfId="0" applyNumberFormat="1" applyFont="1" applyFill="1" applyBorder="1" applyAlignment="1">
      <alignment horizontal="center" vertical="center" wrapText="1"/>
    </xf>
    <xf numFmtId="3" fontId="3" fillId="5" borderId="24" xfId="0" applyNumberFormat="1" applyFont="1" applyFill="1" applyBorder="1" applyAlignment="1">
      <alignment horizontal="center" vertical="center" wrapText="1"/>
    </xf>
    <xf numFmtId="3" fontId="3" fillId="5" borderId="26" xfId="0" applyNumberFormat="1" applyFont="1" applyFill="1" applyBorder="1" applyAlignment="1">
      <alignment horizontal="center" vertical="center" wrapText="1"/>
    </xf>
    <xf numFmtId="165" fontId="3" fillId="5" borderId="26" xfId="0" applyNumberFormat="1" applyFont="1" applyFill="1" applyBorder="1" applyAlignment="1">
      <alignment horizontal="center" vertical="center" wrapText="1"/>
    </xf>
    <xf numFmtId="3" fontId="3" fillId="5" borderId="25" xfId="0" applyNumberFormat="1" applyFont="1" applyFill="1" applyBorder="1" applyAlignment="1">
      <alignment horizontal="center"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165" fontId="3" fillId="5" borderId="25" xfId="0" applyNumberFormat="1" applyFont="1" applyFill="1" applyBorder="1" applyAlignment="1">
      <alignment horizontal="center" vertical="center" wrapText="1"/>
    </xf>
    <xf numFmtId="3" fontId="3" fillId="5" borderId="18" xfId="0" applyNumberFormat="1" applyFont="1" applyFill="1" applyBorder="1" applyAlignment="1">
      <alignment horizontal="left" vertical="top" wrapText="1" indent="1"/>
    </xf>
    <xf numFmtId="164" fontId="3" fillId="5" borderId="12" xfId="0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165" fontId="7" fillId="8" borderId="12" xfId="0" applyNumberFormat="1" applyFont="1" applyFill="1" applyBorder="1" applyAlignment="1">
      <alignment horizontal="center" vertical="center" wrapText="1"/>
    </xf>
    <xf numFmtId="3" fontId="7" fillId="8" borderId="21" xfId="0" applyNumberFormat="1" applyFont="1" applyFill="1" applyBorder="1" applyAlignment="1">
      <alignment horizontal="center" vertical="center" wrapText="1"/>
    </xf>
    <xf numFmtId="165" fontId="7" fillId="8" borderId="13" xfId="0" applyNumberFormat="1" applyFont="1" applyFill="1" applyBorder="1" applyAlignment="1">
      <alignment horizontal="center" vertical="center" wrapText="1"/>
    </xf>
    <xf numFmtId="3" fontId="7" fillId="8" borderId="13" xfId="0" applyNumberFormat="1" applyFont="1" applyFill="1" applyBorder="1" applyAlignment="1">
      <alignment horizontal="center" vertical="center" wrapText="1"/>
    </xf>
    <xf numFmtId="3" fontId="7" fillId="8" borderId="24" xfId="0" applyNumberFormat="1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horizontal="center" vertical="center" wrapText="1"/>
    </xf>
    <xf numFmtId="0" fontId="7" fillId="12" borderId="12" xfId="0" applyFont="1" applyFill="1" applyBorder="1" applyAlignment="1">
      <alignment horizontal="center" vertical="center" wrapText="1"/>
    </xf>
    <xf numFmtId="165" fontId="7" fillId="12" borderId="12" xfId="0" applyNumberFormat="1" applyFont="1" applyFill="1" applyBorder="1" applyAlignment="1">
      <alignment horizontal="center" vertical="center" wrapText="1"/>
    </xf>
    <xf numFmtId="3" fontId="7" fillId="12" borderId="21" xfId="0" applyNumberFormat="1" applyFont="1" applyFill="1" applyBorder="1" applyAlignment="1">
      <alignment horizontal="center" vertical="center" wrapText="1"/>
    </xf>
    <xf numFmtId="165" fontId="7" fillId="12" borderId="13" xfId="0" applyNumberFormat="1" applyFont="1" applyFill="1" applyBorder="1" applyAlignment="1">
      <alignment horizontal="center" vertical="center" wrapText="1"/>
    </xf>
    <xf numFmtId="3" fontId="7" fillId="12" borderId="13" xfId="0" applyNumberFormat="1" applyFont="1" applyFill="1" applyBorder="1" applyAlignment="1">
      <alignment horizontal="center" vertical="center" wrapText="1"/>
    </xf>
    <xf numFmtId="3" fontId="7" fillId="12" borderId="24" xfId="0" applyNumberFormat="1" applyFont="1" applyFill="1" applyBorder="1" applyAlignment="1">
      <alignment horizontal="center" vertical="center" wrapText="1"/>
    </xf>
    <xf numFmtId="3" fontId="7" fillId="12" borderId="14" xfId="0" applyNumberFormat="1" applyFont="1" applyFill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 wrapText="1"/>
    </xf>
    <xf numFmtId="165" fontId="7" fillId="11" borderId="28" xfId="0" applyNumberFormat="1" applyFont="1" applyFill="1" applyBorder="1" applyAlignment="1">
      <alignment horizontal="center" vertical="center" wrapText="1"/>
    </xf>
    <xf numFmtId="3" fontId="7" fillId="11" borderId="27" xfId="0" applyNumberFormat="1" applyFont="1" applyFill="1" applyBorder="1" applyAlignment="1">
      <alignment horizontal="center" vertical="center" wrapText="1"/>
    </xf>
    <xf numFmtId="165" fontId="7" fillId="11" borderId="20" xfId="0" applyNumberFormat="1" applyFont="1" applyFill="1" applyBorder="1" applyAlignment="1">
      <alignment horizontal="center" vertical="center" wrapText="1"/>
    </xf>
    <xf numFmtId="3" fontId="7" fillId="11" borderId="20" xfId="0" applyNumberFormat="1" applyFont="1" applyFill="1" applyBorder="1" applyAlignment="1">
      <alignment horizontal="center" vertical="center" wrapText="1"/>
    </xf>
    <xf numFmtId="3" fontId="7" fillId="11" borderId="1" xfId="0" applyNumberFormat="1" applyFont="1" applyFill="1" applyBorder="1" applyAlignment="1">
      <alignment horizontal="center" vertical="center" wrapText="1"/>
    </xf>
    <xf numFmtId="3" fontId="7" fillId="11" borderId="29" xfId="0" applyNumberFormat="1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165" fontId="7" fillId="9" borderId="12" xfId="0" applyNumberFormat="1" applyFont="1" applyFill="1" applyBorder="1" applyAlignment="1">
      <alignment horizontal="center" vertical="center" wrapText="1"/>
    </xf>
    <xf numFmtId="3" fontId="7" fillId="9" borderId="21" xfId="0" applyNumberFormat="1" applyFont="1" applyFill="1" applyBorder="1" applyAlignment="1">
      <alignment horizontal="center" vertical="center" wrapText="1"/>
    </xf>
    <xf numFmtId="165" fontId="7" fillId="9" borderId="13" xfId="0" applyNumberFormat="1" applyFont="1" applyFill="1" applyBorder="1" applyAlignment="1">
      <alignment horizontal="center" vertical="center" wrapText="1"/>
    </xf>
    <xf numFmtId="3" fontId="7" fillId="9" borderId="13" xfId="0" applyNumberFormat="1" applyFont="1" applyFill="1" applyBorder="1" applyAlignment="1">
      <alignment horizontal="center" vertical="center" wrapText="1"/>
    </xf>
    <xf numFmtId="3" fontId="7" fillId="9" borderId="24" xfId="0" applyNumberFormat="1" applyFont="1" applyFill="1" applyBorder="1" applyAlignment="1">
      <alignment horizontal="center" vertical="center" wrapText="1"/>
    </xf>
    <xf numFmtId="3" fontId="7" fillId="9" borderId="14" xfId="0" applyNumberFormat="1" applyFont="1" applyFill="1" applyBorder="1" applyAlignment="1">
      <alignment horizontal="center" vertical="center" wrapText="1"/>
    </xf>
    <xf numFmtId="165" fontId="8" fillId="11" borderId="28" xfId="0" applyNumberFormat="1" applyFont="1" applyFill="1" applyBorder="1" applyAlignment="1">
      <alignment horizontal="center" vertical="center" wrapText="1"/>
    </xf>
    <xf numFmtId="165" fontId="8" fillId="11" borderId="20" xfId="0" applyNumberFormat="1" applyFont="1" applyFill="1" applyBorder="1" applyAlignment="1">
      <alignment horizontal="center" vertical="center" wrapText="1"/>
    </xf>
    <xf numFmtId="164" fontId="3" fillId="5" borderId="13" xfId="0" applyNumberFormat="1" applyFont="1" applyFill="1" applyBorder="1" applyAlignment="1">
      <alignment horizontal="center" vertical="center" wrapText="1"/>
    </xf>
    <xf numFmtId="4" fontId="3" fillId="5" borderId="15" xfId="0" applyNumberFormat="1" applyFont="1" applyFill="1" applyBorder="1" applyAlignment="1">
      <alignment horizontal="center" vertical="center" wrapText="1"/>
    </xf>
    <xf numFmtId="4" fontId="3" fillId="5" borderId="11" xfId="0" applyNumberFormat="1" applyFont="1" applyFill="1" applyBorder="1" applyAlignment="1">
      <alignment horizontal="center" vertical="center" wrapText="1"/>
    </xf>
    <xf numFmtId="3" fontId="8" fillId="8" borderId="12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11" borderId="20" xfId="0" applyNumberFormat="1" applyFont="1" applyFill="1" applyBorder="1" applyAlignment="1">
      <alignment horizontal="center" vertical="center" wrapText="1"/>
    </xf>
    <xf numFmtId="3" fontId="8" fillId="11" borderId="29" xfId="0" applyNumberFormat="1" applyFont="1" applyFill="1" applyBorder="1" applyAlignment="1">
      <alignment horizontal="center" vertical="center" wrapText="1"/>
    </xf>
    <xf numFmtId="165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165" fontId="8" fillId="12" borderId="13" xfId="0" applyNumberFormat="1" applyFont="1" applyFill="1" applyBorder="1" applyAlignment="1">
      <alignment horizontal="center" vertical="center" wrapText="1"/>
    </xf>
    <xf numFmtId="3" fontId="8" fillId="12" borderId="14" xfId="0" applyNumberFormat="1" applyFont="1" applyFill="1" applyBorder="1" applyAlignment="1">
      <alignment horizontal="center" vertical="center" wrapText="1"/>
    </xf>
    <xf numFmtId="3" fontId="8" fillId="9" borderId="14" xfId="0" applyNumberFormat="1" applyFont="1" applyFill="1" applyBorder="1" applyAlignment="1">
      <alignment horizontal="center" vertical="center" wrapText="1"/>
    </xf>
    <xf numFmtId="3" fontId="8" fillId="9" borderId="12" xfId="0" applyNumberFormat="1" applyFont="1" applyFill="1" applyBorder="1" applyAlignment="1">
      <alignment horizontal="center" vertical="center" wrapText="1"/>
    </xf>
    <xf numFmtId="3" fontId="8" fillId="9" borderId="13" xfId="0" applyNumberFormat="1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left" vertical="center" wrapText="1" indent="1"/>
    </xf>
    <xf numFmtId="3" fontId="3" fillId="5" borderId="30" xfId="0" applyNumberFormat="1" applyFont="1" applyFill="1" applyBorder="1" applyAlignment="1">
      <alignment horizontal="center" vertical="center" wrapText="1"/>
    </xf>
    <xf numFmtId="164" fontId="3" fillId="5" borderId="14" xfId="0" applyNumberFormat="1" applyFont="1" applyFill="1" applyBorder="1" applyAlignment="1">
      <alignment horizontal="center" vertical="center" wrapText="1"/>
    </xf>
    <xf numFmtId="164" fontId="3" fillId="5" borderId="16" xfId="0" applyNumberFormat="1" applyFont="1" applyFill="1" applyBorder="1" applyAlignment="1">
      <alignment horizontal="center" vertical="center" wrapText="1"/>
    </xf>
    <xf numFmtId="165" fontId="3" fillId="5" borderId="14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2" fillId="10" borderId="49" xfId="0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3" fontId="3" fillId="7" borderId="13" xfId="0" applyNumberFormat="1" applyFont="1" applyFill="1" applyBorder="1" applyAlignment="1">
      <alignment horizontal="center" vertical="center" wrapText="1"/>
    </xf>
    <xf numFmtId="3" fontId="3" fillId="7" borderId="15" xfId="0" applyNumberFormat="1" applyFont="1" applyFill="1" applyBorder="1" applyAlignment="1">
      <alignment horizontal="center" vertical="center" wrapText="1"/>
    </xf>
    <xf numFmtId="3" fontId="3" fillId="7" borderId="11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2" fontId="3" fillId="5" borderId="17" xfId="0" applyNumberFormat="1" applyFont="1" applyFill="1" applyBorder="1" applyAlignment="1">
      <alignment horizontal="center" vertical="center" wrapText="1"/>
    </xf>
    <xf numFmtId="167" fontId="3" fillId="5" borderId="15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165" fontId="15" fillId="7" borderId="3" xfId="0" applyNumberFormat="1" applyFont="1" applyFill="1" applyBorder="1" applyAlignment="1">
      <alignment horizontal="center" vertical="center" wrapText="1"/>
    </xf>
    <xf numFmtId="165" fontId="15" fillId="7" borderId="6" xfId="0" applyNumberFormat="1" applyFont="1" applyFill="1" applyBorder="1" applyAlignment="1">
      <alignment horizontal="center" vertical="center" wrapText="1"/>
    </xf>
    <xf numFmtId="165" fontId="15" fillId="7" borderId="7" xfId="0" applyNumberFormat="1" applyFont="1" applyFill="1" applyBorder="1" applyAlignment="1">
      <alignment horizontal="center" vertical="center" wrapText="1"/>
    </xf>
    <xf numFmtId="3" fontId="15" fillId="7" borderId="3" xfId="0" applyNumberFormat="1" applyFont="1" applyFill="1" applyBorder="1" applyAlignment="1">
      <alignment horizontal="center" vertical="center" wrapText="1"/>
    </xf>
    <xf numFmtId="3" fontId="15" fillId="7" borderId="6" xfId="0" applyNumberFormat="1" applyFont="1" applyFill="1" applyBorder="1" applyAlignment="1">
      <alignment horizontal="center" vertical="center" wrapText="1"/>
    </xf>
    <xf numFmtId="3" fontId="15" fillId="7" borderId="7" xfId="0" applyNumberFormat="1" applyFont="1" applyFill="1" applyBorder="1" applyAlignment="1">
      <alignment horizontal="center" vertical="center" wrapText="1"/>
    </xf>
    <xf numFmtId="9" fontId="15" fillId="7" borderId="57" xfId="0" applyNumberFormat="1" applyFont="1" applyFill="1" applyBorder="1" applyAlignment="1">
      <alignment horizontal="center" vertical="center" wrapText="1"/>
    </xf>
    <xf numFmtId="0" fontId="3" fillId="5" borderId="50" xfId="0" applyFont="1" applyFill="1" applyBorder="1" applyAlignment="1">
      <alignment horizontal="center" vertical="center" wrapText="1"/>
    </xf>
    <xf numFmtId="0" fontId="3" fillId="5" borderId="51" xfId="0" applyFont="1" applyFill="1" applyBorder="1" applyAlignment="1">
      <alignment horizontal="left" vertical="center" wrapText="1" indent="1"/>
    </xf>
    <xf numFmtId="165" fontId="3" fillId="5" borderId="50" xfId="0" applyNumberFormat="1" applyFont="1" applyFill="1" applyBorder="1" applyAlignment="1">
      <alignment horizontal="center" vertical="center" wrapText="1"/>
    </xf>
    <xf numFmtId="165" fontId="3" fillId="5" borderId="30" xfId="0" applyNumberFormat="1" applyFont="1" applyFill="1" applyBorder="1" applyAlignment="1">
      <alignment horizontal="center" vertical="center" wrapText="1"/>
    </xf>
    <xf numFmtId="165" fontId="3" fillId="5" borderId="51" xfId="0" applyNumberFormat="1" applyFont="1" applyFill="1" applyBorder="1" applyAlignment="1">
      <alignment horizontal="center" vertical="center" wrapText="1"/>
    </xf>
    <xf numFmtId="3" fontId="3" fillId="5" borderId="50" xfId="0" applyNumberFormat="1" applyFont="1" applyFill="1" applyBorder="1" applyAlignment="1">
      <alignment horizontal="center" vertical="center" wrapText="1"/>
    </xf>
    <xf numFmtId="3" fontId="3" fillId="5" borderId="51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 indent="1"/>
    </xf>
    <xf numFmtId="0" fontId="3" fillId="5" borderId="10" xfId="0" applyFont="1" applyFill="1" applyBorder="1" applyAlignment="1">
      <alignment horizontal="left" vertical="center" wrapText="1" indent="1"/>
    </xf>
    <xf numFmtId="3" fontId="3" fillId="5" borderId="8" xfId="0" applyNumberFormat="1" applyFont="1" applyFill="1" applyBorder="1" applyAlignment="1">
      <alignment horizontal="center" vertical="center" wrapText="1"/>
    </xf>
    <xf numFmtId="3" fontId="3" fillId="5" borderId="9" xfId="0" applyNumberFormat="1" applyFont="1" applyFill="1" applyBorder="1" applyAlignment="1">
      <alignment horizontal="center" vertical="center" wrapText="1"/>
    </xf>
    <xf numFmtId="3" fontId="3" fillId="5" borderId="10" xfId="0" applyNumberFormat="1" applyFont="1" applyFill="1" applyBorder="1" applyAlignment="1">
      <alignment horizontal="center" vertical="center" wrapText="1"/>
    </xf>
    <xf numFmtId="0" fontId="16" fillId="14" borderId="6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17" fillId="14" borderId="60" xfId="0" applyNumberFormat="1" applyFont="1" applyFill="1" applyBorder="1" applyAlignment="1">
      <alignment horizontal="center" vertical="center" wrapText="1"/>
    </xf>
    <xf numFmtId="165" fontId="17" fillId="14" borderId="61" xfId="0" applyNumberFormat="1" applyFont="1" applyFill="1" applyBorder="1" applyAlignment="1">
      <alignment horizontal="center" vertical="center" wrapText="1"/>
    </xf>
    <xf numFmtId="165" fontId="17" fillId="14" borderId="62" xfId="0" applyNumberFormat="1" applyFont="1" applyFill="1" applyBorder="1" applyAlignment="1">
      <alignment horizontal="center" vertical="center" wrapText="1"/>
    </xf>
    <xf numFmtId="3" fontId="17" fillId="14" borderId="60" xfId="0" applyNumberFormat="1" applyFont="1" applyFill="1" applyBorder="1" applyAlignment="1">
      <alignment horizontal="center" vertical="center" wrapText="1"/>
    </xf>
    <xf numFmtId="3" fontId="17" fillId="14" borderId="61" xfId="0" applyNumberFormat="1" applyFont="1" applyFill="1" applyBorder="1" applyAlignment="1">
      <alignment horizontal="center" vertical="center" wrapText="1"/>
    </xf>
    <xf numFmtId="3" fontId="17" fillId="14" borderId="62" xfId="0" applyNumberFormat="1" applyFont="1" applyFill="1" applyBorder="1" applyAlignment="1">
      <alignment horizontal="center" vertical="center" wrapText="1"/>
    </xf>
    <xf numFmtId="9" fontId="17" fillId="14" borderId="63" xfId="0" applyNumberFormat="1" applyFont="1" applyFill="1" applyBorder="1" applyAlignment="1">
      <alignment horizontal="center" vertical="center" wrapText="1"/>
    </xf>
    <xf numFmtId="9" fontId="3" fillId="15" borderId="58" xfId="0" applyNumberFormat="1" applyFont="1" applyFill="1" applyBorder="1" applyAlignment="1">
      <alignment horizontal="center" vertical="center" wrapText="1"/>
    </xf>
    <xf numFmtId="9" fontId="3" fillId="16" borderId="58" xfId="0" applyNumberFormat="1" applyFont="1" applyFill="1" applyBorder="1" applyAlignment="1">
      <alignment horizontal="center" vertical="center" wrapText="1"/>
    </xf>
    <xf numFmtId="9" fontId="3" fillId="16" borderId="59" xfId="0" applyNumberFormat="1" applyFont="1" applyFill="1" applyBorder="1" applyAlignment="1">
      <alignment horizontal="center" vertical="center" wrapText="1"/>
    </xf>
    <xf numFmtId="9" fontId="3" fillId="15" borderId="59" xfId="0" applyNumberFormat="1" applyFont="1" applyFill="1" applyBorder="1" applyAlignment="1">
      <alignment horizontal="center" vertical="center" wrapText="1"/>
    </xf>
    <xf numFmtId="166" fontId="6" fillId="6" borderId="47" xfId="0" applyNumberFormat="1" applyFont="1" applyFill="1" applyBorder="1" applyAlignment="1">
      <alignment horizontal="center" vertical="center" wrapText="1"/>
    </xf>
    <xf numFmtId="166" fontId="6" fillId="6" borderId="32" xfId="0" applyNumberFormat="1" applyFont="1" applyFill="1" applyBorder="1" applyAlignment="1">
      <alignment horizontal="center" vertical="center" wrapText="1"/>
    </xf>
    <xf numFmtId="166" fontId="6" fillId="6" borderId="48" xfId="0" applyNumberFormat="1" applyFont="1" applyFill="1" applyBorder="1" applyAlignment="1">
      <alignment horizontal="center" vertical="center" wrapText="1"/>
    </xf>
    <xf numFmtId="166" fontId="6" fillId="6" borderId="50" xfId="0" applyNumberFormat="1" applyFont="1" applyFill="1" applyBorder="1" applyAlignment="1">
      <alignment horizontal="center" vertical="center" wrapText="1"/>
    </xf>
    <xf numFmtId="166" fontId="6" fillId="6" borderId="30" xfId="0" applyNumberFormat="1" applyFont="1" applyFill="1" applyBorder="1" applyAlignment="1">
      <alignment horizontal="center" vertical="center" wrapText="1"/>
    </xf>
    <xf numFmtId="166" fontId="6" fillId="6" borderId="51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6" fillId="10" borderId="4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0" fontId="6" fillId="10" borderId="46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 wrapText="1"/>
    </xf>
    <xf numFmtId="0" fontId="4" fillId="10" borderId="40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vertical="center" wrapText="1"/>
    </xf>
    <xf numFmtId="0" fontId="4" fillId="10" borderId="41" xfId="0" applyFont="1" applyFill="1" applyBorder="1" applyAlignment="1">
      <alignment horizontal="center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 indent="1"/>
    </xf>
    <xf numFmtId="0" fontId="7" fillId="12" borderId="1" xfId="0" applyFont="1" applyFill="1" applyBorder="1" applyAlignment="1">
      <alignment horizontal="left" vertical="center" wrapText="1" indent="1"/>
    </xf>
    <xf numFmtId="0" fontId="7" fillId="9" borderId="2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horizontal="left" vertical="center" wrapText="1" indent="1"/>
    </xf>
    <xf numFmtId="0" fontId="7" fillId="11" borderId="2" xfId="0" applyFont="1" applyFill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left" vertical="center" wrapText="1" indent="1"/>
    </xf>
    <xf numFmtId="0" fontId="7" fillId="7" borderId="6" xfId="0" applyFont="1" applyFill="1" applyBorder="1" applyAlignment="1">
      <alignment horizontal="left" vertical="center" wrapText="1" indent="1"/>
    </xf>
    <xf numFmtId="0" fontId="7" fillId="7" borderId="7" xfId="0" applyFont="1" applyFill="1" applyBorder="1" applyAlignment="1">
      <alignment horizontal="left" vertical="center" wrapText="1" indent="1"/>
    </xf>
    <xf numFmtId="0" fontId="16" fillId="14" borderId="61" xfId="0" applyFont="1" applyFill="1" applyBorder="1" applyAlignment="1">
      <alignment horizontal="left" vertical="center" wrapText="1" indent="1"/>
    </xf>
    <xf numFmtId="0" fontId="16" fillId="14" borderId="62" xfId="0" applyFont="1" applyFill="1" applyBorder="1" applyAlignment="1">
      <alignment horizontal="left" vertical="center" wrapText="1" indent="1"/>
    </xf>
    <xf numFmtId="0" fontId="14" fillId="3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13" borderId="55" xfId="0" applyFont="1" applyFill="1" applyBorder="1" applyAlignment="1">
      <alignment horizontal="center" vertical="center" wrapText="1"/>
    </xf>
    <xf numFmtId="0" fontId="5" fillId="13" borderId="5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8">
    <dxf>
      <font>
        <color theme="0" tint="-0.24994659260841701"/>
      </font>
    </dxf>
    <dxf>
      <font>
        <color theme="0" tint="-0.24994659260841701"/>
      </font>
    </dxf>
    <dxf>
      <font>
        <color auto="1"/>
      </font>
      <fill>
        <patternFill>
          <bgColor theme="0" tint="-0.1499679555650502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D9D9"/>
      <color rgb="FFD1FFF0"/>
      <color rgb="FF66FFCC"/>
      <color rgb="FFE3F3D1"/>
      <color rgb="FF0000FF"/>
      <color rgb="FFFFFFCC"/>
      <color rgb="FFE65907"/>
      <color rgb="FF009900"/>
      <color rgb="FFFFE1E1"/>
      <color rgb="FFF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P37"/>
  <sheetViews>
    <sheetView zoomScale="85" zoomScaleNormal="85" workbookViewId="0">
      <pane xSplit="8" ySplit="6" topLeftCell="V7" activePane="bottomRight" state="frozen"/>
      <selection pane="topRight" activeCell="I1" sqref="I1"/>
      <selection pane="bottomLeft" activeCell="A7" sqref="A7"/>
      <selection pane="bottomRight" activeCell="B29" sqref="B29"/>
    </sheetView>
  </sheetViews>
  <sheetFormatPr defaultColWidth="9.140625" defaultRowHeight="14.25" outlineLevelCol="1"/>
  <cols>
    <col min="1" max="1" width="3.7109375" style="1" customWidth="1"/>
    <col min="2" max="2" width="11" style="1" customWidth="1"/>
    <col min="3" max="3" width="33.7109375" style="1" customWidth="1"/>
    <col min="4" max="4" width="56.5703125" style="1" customWidth="1"/>
    <col min="5" max="5" width="29.140625" style="1" customWidth="1" outlineLevel="1"/>
    <col min="6" max="8" width="14.42578125" style="1" customWidth="1" outlineLevel="1"/>
    <col min="9" max="9" width="3.7109375" style="1" customWidth="1"/>
    <col min="10" max="14" width="16.85546875" style="1" customWidth="1"/>
    <col min="15" max="16" width="3.7109375" style="1" customWidth="1"/>
    <col min="17" max="22" width="16.85546875" style="1" customWidth="1"/>
    <col min="23" max="24" width="3.7109375" style="1" customWidth="1"/>
    <col min="25" max="30" width="16.85546875" style="1" customWidth="1"/>
    <col min="31" max="32" width="3.7109375" style="1" customWidth="1"/>
    <col min="33" max="38" width="16.85546875" style="1" customWidth="1"/>
    <col min="39" max="40" width="3.7109375" style="1" customWidth="1"/>
    <col min="41" max="46" width="16.85546875" style="1" customWidth="1"/>
    <col min="47" max="48" width="3.7109375" style="1" customWidth="1"/>
    <col min="49" max="54" width="10.7109375" style="1" customWidth="1"/>
    <col min="55" max="55" width="3.7109375" style="1" customWidth="1"/>
    <col min="56" max="61" width="10.7109375" style="1" customWidth="1"/>
    <col min="62" max="62" width="3.7109375" style="1" customWidth="1"/>
    <col min="63" max="68" width="10.7109375" style="1" customWidth="1"/>
    <col min="69" max="69" width="3.7109375" style="1" customWidth="1"/>
    <col min="70" max="16384" width="9.140625" style="1"/>
  </cols>
  <sheetData>
    <row r="1" spans="2:68" ht="15" thickBot="1">
      <c r="O1" s="95"/>
      <c r="P1" s="95"/>
      <c r="W1" s="95"/>
      <c r="X1" s="95"/>
      <c r="AE1" s="95"/>
      <c r="AF1" s="95"/>
      <c r="AM1" s="95"/>
      <c r="AN1" s="95"/>
      <c r="AU1" s="95"/>
      <c r="AV1" s="95"/>
    </row>
    <row r="2" spans="2:68" s="90" customFormat="1" ht="24.75" customHeight="1" thickTop="1" thickBot="1">
      <c r="J2" s="186"/>
      <c r="K2" s="186"/>
      <c r="L2" s="162" t="s">
        <v>104</v>
      </c>
      <c r="M2" s="162"/>
      <c r="P2" s="97"/>
      <c r="Q2" s="186" t="s">
        <v>107</v>
      </c>
      <c r="R2" s="186"/>
      <c r="S2" s="186"/>
      <c r="T2" s="186"/>
      <c r="U2" s="186"/>
      <c r="V2" s="186"/>
      <c r="X2" s="97"/>
      <c r="Y2" s="186" t="s">
        <v>108</v>
      </c>
      <c r="Z2" s="186"/>
      <c r="AA2" s="186"/>
      <c r="AB2" s="186"/>
      <c r="AC2" s="186"/>
      <c r="AD2" s="186"/>
      <c r="AF2" s="97"/>
      <c r="AG2" s="162" t="s">
        <v>101</v>
      </c>
      <c r="AH2" s="162"/>
      <c r="AI2" s="162"/>
      <c r="AJ2" s="162"/>
      <c r="AK2" s="162"/>
      <c r="AL2" s="162"/>
      <c r="AN2" s="97"/>
      <c r="AO2" s="149" t="s">
        <v>103</v>
      </c>
      <c r="AP2" s="149"/>
      <c r="AQ2" s="149"/>
      <c r="AR2" s="149"/>
      <c r="AS2" s="149"/>
      <c r="AT2" s="149"/>
      <c r="AV2" s="97"/>
      <c r="AW2" s="166" t="s">
        <v>105</v>
      </c>
      <c r="AX2" s="166"/>
      <c r="AY2" s="166"/>
      <c r="AZ2" s="166"/>
      <c r="BA2" s="166"/>
      <c r="BB2" s="166"/>
      <c r="BD2" s="166" t="s">
        <v>106</v>
      </c>
      <c r="BE2" s="166"/>
      <c r="BF2" s="166"/>
      <c r="BG2" s="166"/>
      <c r="BH2" s="166"/>
      <c r="BI2" s="166"/>
      <c r="BK2" s="187" t="s">
        <v>109</v>
      </c>
      <c r="BL2" s="187"/>
      <c r="BM2" s="187"/>
      <c r="BN2" s="187"/>
      <c r="BO2" s="187"/>
      <c r="BP2" s="187"/>
    </row>
    <row r="3" spans="2:68" ht="33" customHeight="1">
      <c r="B3" s="150" t="s">
        <v>44</v>
      </c>
      <c r="C3" s="151" t="s">
        <v>0</v>
      </c>
      <c r="D3" s="151" t="s">
        <v>1</v>
      </c>
      <c r="E3" s="151" t="s">
        <v>80</v>
      </c>
      <c r="F3" s="151" t="s">
        <v>27</v>
      </c>
      <c r="G3" s="151" t="s">
        <v>24</v>
      </c>
      <c r="H3" s="191" t="s">
        <v>38</v>
      </c>
      <c r="J3" s="179" t="s">
        <v>79</v>
      </c>
      <c r="K3" s="180"/>
      <c r="L3" s="181" t="s">
        <v>75</v>
      </c>
      <c r="M3" s="182"/>
      <c r="N3" s="183" t="s">
        <v>78</v>
      </c>
      <c r="P3" s="94"/>
      <c r="Q3" s="150" t="s">
        <v>81</v>
      </c>
      <c r="R3" s="151"/>
      <c r="S3" s="151" t="s">
        <v>82</v>
      </c>
      <c r="T3" s="151"/>
      <c r="U3" s="151" t="s">
        <v>85</v>
      </c>
      <c r="V3" s="154" t="s">
        <v>87</v>
      </c>
      <c r="X3" s="94"/>
      <c r="Y3" s="150" t="s">
        <v>81</v>
      </c>
      <c r="Z3" s="151"/>
      <c r="AA3" s="151" t="s">
        <v>82</v>
      </c>
      <c r="AB3" s="151"/>
      <c r="AC3" s="151" t="s">
        <v>96</v>
      </c>
      <c r="AD3" s="154" t="s">
        <v>87</v>
      </c>
      <c r="AF3" s="94"/>
      <c r="AG3" s="150" t="s">
        <v>81</v>
      </c>
      <c r="AH3" s="151"/>
      <c r="AI3" s="151" t="s">
        <v>82</v>
      </c>
      <c r="AJ3" s="151"/>
      <c r="AK3" s="151" t="s">
        <v>100</v>
      </c>
      <c r="AL3" s="154" t="s">
        <v>87</v>
      </c>
      <c r="AN3" s="94"/>
      <c r="AO3" s="150" t="s">
        <v>81</v>
      </c>
      <c r="AP3" s="151"/>
      <c r="AQ3" s="151" t="s">
        <v>82</v>
      </c>
      <c r="AR3" s="151"/>
      <c r="AS3" s="151" t="s">
        <v>85</v>
      </c>
      <c r="AT3" s="154" t="s">
        <v>87</v>
      </c>
      <c r="AV3" s="94"/>
      <c r="AW3" s="163" t="s">
        <v>89</v>
      </c>
      <c r="AX3" s="164"/>
      <c r="AY3" s="164" t="s">
        <v>90</v>
      </c>
      <c r="AZ3" s="164"/>
      <c r="BA3" s="164" t="s">
        <v>91</v>
      </c>
      <c r="BB3" s="165"/>
      <c r="BD3" s="163" t="s">
        <v>92</v>
      </c>
      <c r="BE3" s="164"/>
      <c r="BF3" s="164" t="s">
        <v>93</v>
      </c>
      <c r="BG3" s="164"/>
      <c r="BH3" s="164" t="s">
        <v>94</v>
      </c>
      <c r="BI3" s="165"/>
      <c r="BK3" s="163" t="s">
        <v>110</v>
      </c>
      <c r="BL3" s="164"/>
      <c r="BM3" s="164" t="s">
        <v>111</v>
      </c>
      <c r="BN3" s="164"/>
      <c r="BO3" s="164" t="s">
        <v>112</v>
      </c>
      <c r="BP3" s="165"/>
    </row>
    <row r="4" spans="2:68" ht="18" customHeight="1">
      <c r="B4" s="158"/>
      <c r="C4" s="152"/>
      <c r="D4" s="152"/>
      <c r="E4" s="152"/>
      <c r="F4" s="152"/>
      <c r="G4" s="152"/>
      <c r="H4" s="192"/>
      <c r="J4" s="173" t="s">
        <v>15</v>
      </c>
      <c r="K4" s="170" t="s">
        <v>16</v>
      </c>
      <c r="L4" s="167" t="s">
        <v>15</v>
      </c>
      <c r="M4" s="176" t="s">
        <v>16</v>
      </c>
      <c r="N4" s="184"/>
      <c r="P4" s="94"/>
      <c r="Q4" s="157" t="s">
        <v>83</v>
      </c>
      <c r="R4" s="160" t="s">
        <v>84</v>
      </c>
      <c r="S4" s="160" t="s">
        <v>83</v>
      </c>
      <c r="T4" s="160" t="s">
        <v>84</v>
      </c>
      <c r="U4" s="152"/>
      <c r="V4" s="155"/>
      <c r="X4" s="94"/>
      <c r="Y4" s="157" t="s">
        <v>86</v>
      </c>
      <c r="Z4" s="160" t="s">
        <v>95</v>
      </c>
      <c r="AA4" s="160" t="s">
        <v>86</v>
      </c>
      <c r="AB4" s="160" t="s">
        <v>95</v>
      </c>
      <c r="AC4" s="152"/>
      <c r="AD4" s="155"/>
      <c r="AF4" s="94"/>
      <c r="AG4" s="157" t="s">
        <v>98</v>
      </c>
      <c r="AH4" s="160" t="s">
        <v>99</v>
      </c>
      <c r="AI4" s="160" t="s">
        <v>98</v>
      </c>
      <c r="AJ4" s="160" t="s">
        <v>99</v>
      </c>
      <c r="AK4" s="152"/>
      <c r="AL4" s="155"/>
      <c r="AN4" s="94"/>
      <c r="AO4" s="157" t="s">
        <v>83</v>
      </c>
      <c r="AP4" s="160" t="s">
        <v>84</v>
      </c>
      <c r="AQ4" s="160" t="s">
        <v>83</v>
      </c>
      <c r="AR4" s="160" t="s">
        <v>84</v>
      </c>
      <c r="AS4" s="152"/>
      <c r="AT4" s="155"/>
      <c r="AV4" s="94"/>
      <c r="AW4" s="143" t="s">
        <v>102</v>
      </c>
      <c r="AX4" s="144"/>
      <c r="AY4" s="144"/>
      <c r="AZ4" s="144"/>
      <c r="BA4" s="144"/>
      <c r="BB4" s="145"/>
      <c r="BD4" s="143" t="s">
        <v>102</v>
      </c>
      <c r="BE4" s="144"/>
      <c r="BF4" s="144"/>
      <c r="BG4" s="144"/>
      <c r="BH4" s="144"/>
      <c r="BI4" s="145"/>
      <c r="BK4" s="143" t="s">
        <v>102</v>
      </c>
      <c r="BL4" s="144"/>
      <c r="BM4" s="144"/>
      <c r="BN4" s="144"/>
      <c r="BO4" s="144"/>
      <c r="BP4" s="145"/>
    </row>
    <row r="5" spans="2:68" ht="18" customHeight="1">
      <c r="B5" s="158"/>
      <c r="C5" s="152"/>
      <c r="D5" s="152"/>
      <c r="E5" s="152"/>
      <c r="F5" s="152"/>
      <c r="G5" s="152"/>
      <c r="H5" s="192"/>
      <c r="J5" s="174"/>
      <c r="K5" s="171"/>
      <c r="L5" s="168"/>
      <c r="M5" s="177"/>
      <c r="N5" s="184"/>
      <c r="P5" s="94"/>
      <c r="Q5" s="158"/>
      <c r="R5" s="152"/>
      <c r="S5" s="152"/>
      <c r="T5" s="152"/>
      <c r="U5" s="152"/>
      <c r="V5" s="155"/>
      <c r="X5" s="94"/>
      <c r="Y5" s="158"/>
      <c r="Z5" s="152"/>
      <c r="AA5" s="152"/>
      <c r="AB5" s="152"/>
      <c r="AC5" s="152"/>
      <c r="AD5" s="155"/>
      <c r="AF5" s="94"/>
      <c r="AG5" s="158"/>
      <c r="AH5" s="152"/>
      <c r="AI5" s="152"/>
      <c r="AJ5" s="152"/>
      <c r="AK5" s="152"/>
      <c r="AL5" s="155"/>
      <c r="AN5" s="94"/>
      <c r="AO5" s="158"/>
      <c r="AP5" s="152"/>
      <c r="AQ5" s="152"/>
      <c r="AR5" s="152"/>
      <c r="AS5" s="152"/>
      <c r="AT5" s="155"/>
      <c r="AV5" s="94"/>
      <c r="AW5" s="146">
        <v>14787.952553265201</v>
      </c>
      <c r="AX5" s="147"/>
      <c r="AY5" s="147">
        <v>17222.3321468551</v>
      </c>
      <c r="AZ5" s="147"/>
      <c r="BA5" s="147">
        <v>16410.4790369947</v>
      </c>
      <c r="BB5" s="148"/>
      <c r="BD5" s="146">
        <v>17056.404966763399</v>
      </c>
      <c r="BE5" s="147"/>
      <c r="BF5" s="147">
        <v>15626.6017896184</v>
      </c>
      <c r="BG5" s="147"/>
      <c r="BH5" s="147">
        <v>15286.908813682199</v>
      </c>
      <c r="BI5" s="148"/>
      <c r="BK5" s="146">
        <v>16017.9029503246</v>
      </c>
      <c r="BL5" s="147"/>
      <c r="BM5" s="147">
        <v>15214.226833771399</v>
      </c>
      <c r="BN5" s="147"/>
      <c r="BO5" s="147">
        <v>14709.5085164183</v>
      </c>
      <c r="BP5" s="148"/>
    </row>
    <row r="6" spans="2:68" ht="29.25" customHeight="1" thickBot="1">
      <c r="B6" s="190"/>
      <c r="C6" s="153"/>
      <c r="D6" s="153"/>
      <c r="E6" s="153"/>
      <c r="F6" s="153"/>
      <c r="G6" s="153"/>
      <c r="H6" s="193"/>
      <c r="J6" s="175"/>
      <c r="K6" s="172"/>
      <c r="L6" s="169"/>
      <c r="M6" s="178"/>
      <c r="N6" s="185"/>
      <c r="P6" s="94"/>
      <c r="Q6" s="159"/>
      <c r="R6" s="161"/>
      <c r="S6" s="161"/>
      <c r="T6" s="161"/>
      <c r="U6" s="153"/>
      <c r="V6" s="156"/>
      <c r="X6" s="94"/>
      <c r="Y6" s="159"/>
      <c r="Z6" s="161"/>
      <c r="AA6" s="161"/>
      <c r="AB6" s="161"/>
      <c r="AC6" s="153"/>
      <c r="AD6" s="156"/>
      <c r="AF6" s="94"/>
      <c r="AG6" s="159"/>
      <c r="AH6" s="161"/>
      <c r="AI6" s="161"/>
      <c r="AJ6" s="161"/>
      <c r="AK6" s="153"/>
      <c r="AL6" s="156"/>
      <c r="AN6" s="94"/>
      <c r="AO6" s="159"/>
      <c r="AP6" s="161"/>
      <c r="AQ6" s="161"/>
      <c r="AR6" s="161"/>
      <c r="AS6" s="153"/>
      <c r="AT6" s="156"/>
      <c r="AV6" s="94"/>
      <c r="AW6" s="91" t="s">
        <v>15</v>
      </c>
      <c r="AX6" s="92" t="s">
        <v>16</v>
      </c>
      <c r="AY6" s="92" t="s">
        <v>15</v>
      </c>
      <c r="AZ6" s="92" t="s">
        <v>16</v>
      </c>
      <c r="BA6" s="92" t="s">
        <v>15</v>
      </c>
      <c r="BB6" s="93" t="s">
        <v>16</v>
      </c>
      <c r="BD6" s="91" t="s">
        <v>15</v>
      </c>
      <c r="BE6" s="92" t="s">
        <v>16</v>
      </c>
      <c r="BF6" s="92" t="s">
        <v>15</v>
      </c>
      <c r="BG6" s="92" t="s">
        <v>16</v>
      </c>
      <c r="BH6" s="92" t="s">
        <v>15</v>
      </c>
      <c r="BI6" s="93" t="s">
        <v>16</v>
      </c>
      <c r="BK6" s="91" t="s">
        <v>15</v>
      </c>
      <c r="BL6" s="92" t="s">
        <v>16</v>
      </c>
      <c r="BM6" s="92" t="s">
        <v>15</v>
      </c>
      <c r="BN6" s="92" t="s">
        <v>16</v>
      </c>
      <c r="BO6" s="92" t="s">
        <v>15</v>
      </c>
      <c r="BP6" s="93" t="s">
        <v>16</v>
      </c>
    </row>
    <row r="7" spans="2:68" ht="18.75" customHeight="1" thickBot="1">
      <c r="P7" s="94"/>
      <c r="X7" s="94"/>
      <c r="AF7" s="94"/>
      <c r="AN7" s="94"/>
      <c r="AV7" s="94"/>
    </row>
    <row r="8" spans="2:68" ht="28.5" customHeight="1" thickBot="1">
      <c r="B8" s="40">
        <v>1</v>
      </c>
      <c r="C8" s="188" t="s">
        <v>10</v>
      </c>
      <c r="D8" s="188"/>
      <c r="E8" s="188"/>
      <c r="F8" s="188"/>
      <c r="G8" s="188"/>
      <c r="H8" s="189"/>
      <c r="J8" s="41" t="s">
        <v>6</v>
      </c>
      <c r="K8" s="42">
        <f>SUM(K9:K18)</f>
        <v>70159.255226113804</v>
      </c>
      <c r="L8" s="43" t="s">
        <v>6</v>
      </c>
      <c r="M8" s="44">
        <f>SUM(M9:M18)</f>
        <v>76200.219304025595</v>
      </c>
      <c r="N8" s="45">
        <f>SUM(N9:N18)</f>
        <v>6040.964077911789</v>
      </c>
      <c r="P8" s="94"/>
      <c r="Q8" s="41" t="s">
        <v>6</v>
      </c>
      <c r="R8" s="43" t="s">
        <v>6</v>
      </c>
      <c r="S8" s="44">
        <f>SUM(S9:S18)</f>
        <v>411.60742856713739</v>
      </c>
      <c r="T8" s="44">
        <f>SUM(T9:T18)</f>
        <v>30344.575614851579</v>
      </c>
      <c r="U8" s="44" t="s">
        <v>6</v>
      </c>
      <c r="V8" s="46">
        <f>SUM(V9:V18)</f>
        <v>-45855.643689173994</v>
      </c>
      <c r="X8" s="94"/>
      <c r="Y8" s="41" t="s">
        <v>6</v>
      </c>
      <c r="Z8" s="43" t="s">
        <v>6</v>
      </c>
      <c r="AA8" s="44">
        <f>SUM(AA9:AA18)</f>
        <v>7209.0939999999991</v>
      </c>
      <c r="AB8" s="44">
        <f>SUM(AB9:AB18)</f>
        <v>22741.41553339663</v>
      </c>
      <c r="AC8" s="44" t="s">
        <v>6</v>
      </c>
      <c r="AD8" s="46">
        <f>SUM(AD9:AD18)</f>
        <v>-53458.803770628954</v>
      </c>
      <c r="AF8" s="94"/>
      <c r="AG8" s="41" t="s">
        <v>6</v>
      </c>
      <c r="AH8" s="43" t="s">
        <v>6</v>
      </c>
      <c r="AI8" s="44">
        <f>SUM(AI9:AI18)</f>
        <v>16288.480761563793</v>
      </c>
      <c r="AJ8" s="44">
        <f>SUM(AJ9:AJ18)</f>
        <v>20107.115907111187</v>
      </c>
      <c r="AK8" s="44" t="s">
        <v>6</v>
      </c>
      <c r="AL8" s="46">
        <f>SUM(AL9:AL18)</f>
        <v>-56093.103396914397</v>
      </c>
      <c r="AN8" s="94"/>
      <c r="AO8" s="41" t="s">
        <v>6</v>
      </c>
      <c r="AP8" s="43" t="s">
        <v>6</v>
      </c>
      <c r="AQ8" s="44">
        <f>SUM(AQ9:AQ18)</f>
        <v>0</v>
      </c>
      <c r="AR8" s="44">
        <f>SUM(AR9:AR18)</f>
        <v>0</v>
      </c>
      <c r="AS8" s="44" t="s">
        <v>6</v>
      </c>
      <c r="AT8" s="46">
        <f>SUM(AT9:AT18)</f>
        <v>-76200.219304025595</v>
      </c>
      <c r="AV8" s="94"/>
      <c r="AW8" s="73" t="s">
        <v>6</v>
      </c>
      <c r="AX8" s="74">
        <f>SUM(AX9:AX18)</f>
        <v>137.2024761890458</v>
      </c>
      <c r="AY8" s="74" t="s">
        <v>6</v>
      </c>
      <c r="AZ8" s="74">
        <f>SUM(AZ9:AZ18)</f>
        <v>137.2024761890458</v>
      </c>
      <c r="BA8" s="74" t="s">
        <v>6</v>
      </c>
      <c r="BB8" s="75">
        <f>SUM(BB9:BB18)</f>
        <v>137.2024761890458</v>
      </c>
      <c r="BD8" s="73" t="s">
        <v>6</v>
      </c>
      <c r="BE8" s="74">
        <f>SUM(BE9:BE18)</f>
        <v>2265.8288571442877</v>
      </c>
      <c r="BF8" s="74" t="s">
        <v>6</v>
      </c>
      <c r="BG8" s="74">
        <f>SUM(BG9:BG18)</f>
        <v>2265.8288571442877</v>
      </c>
      <c r="BH8" s="74" t="s">
        <v>6</v>
      </c>
      <c r="BI8" s="75">
        <f>SUM(BI9:BI18)</f>
        <v>2265.8288571442877</v>
      </c>
      <c r="BK8" s="73" t="s">
        <v>6</v>
      </c>
      <c r="BL8" s="74">
        <f>SUM(BL9:BL18)</f>
        <v>0</v>
      </c>
      <c r="BM8" s="74" t="s">
        <v>6</v>
      </c>
      <c r="BN8" s="74">
        <f>SUM(BN9:BN18)</f>
        <v>0</v>
      </c>
      <c r="BO8" s="74" t="s">
        <v>6</v>
      </c>
      <c r="BP8" s="75">
        <f>SUM(BP9:BP18)</f>
        <v>0</v>
      </c>
    </row>
    <row r="9" spans="2:68" ht="28.5" customHeight="1">
      <c r="B9" s="8">
        <v>1.1000000000000001</v>
      </c>
      <c r="C9" s="9" t="s">
        <v>39</v>
      </c>
      <c r="D9" s="9" t="s">
        <v>12</v>
      </c>
      <c r="E9" s="9" t="s">
        <v>29</v>
      </c>
      <c r="F9" s="9" t="s">
        <v>3</v>
      </c>
      <c r="G9" s="9" t="s">
        <v>25</v>
      </c>
      <c r="H9" s="10" t="s">
        <v>4</v>
      </c>
      <c r="J9" s="16">
        <v>1.25</v>
      </c>
      <c r="K9" s="29">
        <v>21633.96</v>
      </c>
      <c r="L9" s="24">
        <f>(J9/K9)*M9</f>
        <v>0.41634391472433785</v>
      </c>
      <c r="M9" s="25">
        <v>7205.7340779117885</v>
      </c>
      <c r="N9" s="32">
        <f t="shared" ref="N9:N12" si="0">M9-K9</f>
        <v>-14428.225922088212</v>
      </c>
      <c r="P9" s="94"/>
      <c r="Q9" s="16">
        <v>1.6659333333333335E-2</v>
      </c>
      <c r="R9" s="24">
        <v>1.25</v>
      </c>
      <c r="S9" s="25">
        <v>260.4074285671374</v>
      </c>
      <c r="T9" s="25">
        <v>21633.964179635968</v>
      </c>
      <c r="U9" s="26" t="s">
        <v>6</v>
      </c>
      <c r="V9" s="17">
        <f>T9-$M9</f>
        <v>14428.230101724181</v>
      </c>
      <c r="X9" s="94"/>
      <c r="Y9" s="16">
        <v>6.9900000000000004E-2</v>
      </c>
      <c r="Z9" s="24">
        <v>0.64987016666666697</v>
      </c>
      <c r="AA9" s="25">
        <v>1099</v>
      </c>
      <c r="AB9" s="25">
        <v>11249.615533396629</v>
      </c>
      <c r="AC9" s="26" t="s">
        <v>53</v>
      </c>
      <c r="AD9" s="17">
        <f>AB9-$M9</f>
        <v>4043.8814554848404</v>
      </c>
      <c r="AF9" s="94"/>
      <c r="AG9" s="16">
        <v>0.51644933333333332</v>
      </c>
      <c r="AH9" s="24">
        <v>0.55338266666666669</v>
      </c>
      <c r="AI9" s="25">
        <v>7921.6307615637934</v>
      </c>
      <c r="AJ9" s="25">
        <v>8615.3159071111859</v>
      </c>
      <c r="AK9" s="26" t="s">
        <v>6</v>
      </c>
      <c r="AL9" s="17">
        <f>AJ9-$M9</f>
        <v>1409.5818291993974</v>
      </c>
      <c r="AN9" s="94"/>
      <c r="AO9" s="16"/>
      <c r="AP9" s="24"/>
      <c r="AQ9" s="25"/>
      <c r="AR9" s="25"/>
      <c r="AS9" s="26"/>
      <c r="AT9" s="17">
        <f>AR9-$M9</f>
        <v>-7205.7340779117885</v>
      </c>
      <c r="AV9" s="94"/>
      <c r="AW9" s="16">
        <f>$Q9/3</f>
        <v>5.553111111111112E-3</v>
      </c>
      <c r="AX9" s="70">
        <f>$S9/3</f>
        <v>86.802476189045805</v>
      </c>
      <c r="AY9" s="24">
        <f t="shared" ref="AY9:AY18" si="1">$Q9/3</f>
        <v>5.553111111111112E-3</v>
      </c>
      <c r="AZ9" s="70">
        <f t="shared" ref="AZ9:AZ18" si="2">$S9/3</f>
        <v>86.802476189045805</v>
      </c>
      <c r="BA9" s="24">
        <f t="shared" ref="BA9:BA18" si="3">$Q9/3</f>
        <v>5.553111111111112E-3</v>
      </c>
      <c r="BB9" s="87">
        <f t="shared" ref="BB9:BB18" si="4">$S9/3</f>
        <v>86.802476189045805</v>
      </c>
      <c r="BD9" s="16">
        <f>($Y9-$Q9)/3</f>
        <v>1.7746888888888892E-2</v>
      </c>
      <c r="BE9" s="25">
        <f>($AA9-$S9)/3</f>
        <v>279.53085714428749</v>
      </c>
      <c r="BF9" s="24">
        <f>($Y9-$Q9)/3</f>
        <v>1.7746888888888892E-2</v>
      </c>
      <c r="BG9" s="25">
        <f>($AA9-$S9)/3</f>
        <v>279.53085714428749</v>
      </c>
      <c r="BH9" s="24">
        <f>($Y9-$Q9)/3</f>
        <v>1.7746888888888892E-2</v>
      </c>
      <c r="BI9" s="17">
        <f>($AA9-$S9)/3</f>
        <v>279.53085714428749</v>
      </c>
      <c r="BK9" s="16"/>
      <c r="BL9" s="25"/>
      <c r="BM9" s="24"/>
      <c r="BN9" s="25"/>
      <c r="BO9" s="24"/>
      <c r="BP9" s="17"/>
    </row>
    <row r="10" spans="2:68" ht="28.5" customHeight="1">
      <c r="B10" s="11">
        <v>1.2</v>
      </c>
      <c r="C10" s="2" t="s">
        <v>39</v>
      </c>
      <c r="D10" s="2" t="s">
        <v>17</v>
      </c>
      <c r="E10" s="2" t="s">
        <v>29</v>
      </c>
      <c r="F10" s="2" t="s">
        <v>3</v>
      </c>
      <c r="G10" s="2" t="s">
        <v>25</v>
      </c>
      <c r="H10" s="12" t="s">
        <v>4</v>
      </c>
      <c r="J10" s="18">
        <v>0</v>
      </c>
      <c r="K10" s="30">
        <v>0</v>
      </c>
      <c r="L10" s="6">
        <v>0.372</v>
      </c>
      <c r="M10" s="3">
        <v>3631</v>
      </c>
      <c r="N10" s="33">
        <f t="shared" si="0"/>
        <v>3631</v>
      </c>
      <c r="P10" s="94"/>
      <c r="Q10" s="20">
        <v>0</v>
      </c>
      <c r="R10" s="3">
        <v>0</v>
      </c>
      <c r="S10" s="3">
        <v>0</v>
      </c>
      <c r="T10" s="3">
        <v>0</v>
      </c>
      <c r="U10" s="4" t="s">
        <v>45</v>
      </c>
      <c r="V10" s="19">
        <f>T10-$M10</f>
        <v>-3631</v>
      </c>
      <c r="X10" s="94"/>
      <c r="Y10" s="20">
        <v>0</v>
      </c>
      <c r="Z10" s="3">
        <v>0</v>
      </c>
      <c r="AA10" s="3">
        <v>0</v>
      </c>
      <c r="AB10" s="3">
        <v>0</v>
      </c>
      <c r="AC10" s="4" t="s">
        <v>45</v>
      </c>
      <c r="AD10" s="19">
        <f>AB10-$M10</f>
        <v>-3631</v>
      </c>
      <c r="AF10" s="94"/>
      <c r="AG10" s="20">
        <v>0</v>
      </c>
      <c r="AH10" s="3">
        <v>0</v>
      </c>
      <c r="AI10" s="3">
        <v>0</v>
      </c>
      <c r="AJ10" s="3">
        <v>0</v>
      </c>
      <c r="AK10" s="4" t="s">
        <v>6</v>
      </c>
      <c r="AL10" s="19">
        <f t="shared" ref="AL10:AL18" si="5">AJ10-$M10</f>
        <v>-3631</v>
      </c>
      <c r="AN10" s="94"/>
      <c r="AO10" s="20"/>
      <c r="AP10" s="3"/>
      <c r="AQ10" s="3"/>
      <c r="AR10" s="3"/>
      <c r="AS10" s="4"/>
      <c r="AT10" s="19">
        <f>AR10-$M10</f>
        <v>-3631</v>
      </c>
      <c r="AV10" s="94"/>
      <c r="AW10" s="20">
        <f t="shared" ref="AW10:AW18" si="6">$Q10/3</f>
        <v>0</v>
      </c>
      <c r="AX10" s="3">
        <f t="shared" ref="AX10:AX18" si="7">$S10/3</f>
        <v>0</v>
      </c>
      <c r="AY10" s="3">
        <f t="shared" si="1"/>
        <v>0</v>
      </c>
      <c r="AZ10" s="3">
        <f t="shared" si="2"/>
        <v>0</v>
      </c>
      <c r="BA10" s="3">
        <f t="shared" si="3"/>
        <v>0</v>
      </c>
      <c r="BB10" s="19">
        <f t="shared" si="4"/>
        <v>0</v>
      </c>
      <c r="BD10" s="20">
        <f t="shared" ref="BD10:BD18" si="8">($Y10-$Q10)/3</f>
        <v>0</v>
      </c>
      <c r="BE10" s="3">
        <f t="shared" ref="BE10:BE18" si="9">($AA10-$S10)/3</f>
        <v>0</v>
      </c>
      <c r="BF10" s="3">
        <f t="shared" ref="BF10:BF18" si="10">($Y10-$Q10)/3</f>
        <v>0</v>
      </c>
      <c r="BG10" s="3">
        <f t="shared" ref="BG10:BG18" si="11">($AA10-$S10)/3</f>
        <v>0</v>
      </c>
      <c r="BH10" s="3">
        <f t="shared" ref="BH10:BH18" si="12">($Y10-$Q10)/3</f>
        <v>0</v>
      </c>
      <c r="BI10" s="19">
        <f t="shared" ref="BI10:BI18" si="13">($AA10-$S10)/3</f>
        <v>0</v>
      </c>
      <c r="BK10" s="20"/>
      <c r="BL10" s="3"/>
      <c r="BM10" s="3"/>
      <c r="BN10" s="3"/>
      <c r="BO10" s="3"/>
      <c r="BP10" s="19"/>
    </row>
    <row r="11" spans="2:68" ht="28.5" customHeight="1">
      <c r="B11" s="11">
        <v>1.3</v>
      </c>
      <c r="C11" s="2" t="s">
        <v>39</v>
      </c>
      <c r="D11" s="2" t="s">
        <v>76</v>
      </c>
      <c r="E11" s="2" t="s">
        <v>29</v>
      </c>
      <c r="F11" s="2" t="s">
        <v>3</v>
      </c>
      <c r="G11" s="2" t="s">
        <v>25</v>
      </c>
      <c r="H11" s="12" t="s">
        <v>4</v>
      </c>
      <c r="J11" s="18">
        <v>0</v>
      </c>
      <c r="K11" s="30">
        <v>0</v>
      </c>
      <c r="L11" s="6">
        <v>1.45</v>
      </c>
      <c r="M11" s="3">
        <v>14155</v>
      </c>
      <c r="N11" s="33">
        <f t="shared" si="0"/>
        <v>14155</v>
      </c>
      <c r="P11" s="94"/>
      <c r="Q11" s="20">
        <v>0</v>
      </c>
      <c r="R11" s="3">
        <v>0</v>
      </c>
      <c r="S11" s="3">
        <v>0</v>
      </c>
      <c r="T11" s="3">
        <v>0</v>
      </c>
      <c r="U11" s="4" t="s">
        <v>45</v>
      </c>
      <c r="V11" s="19">
        <f>T11-$M11</f>
        <v>-14155</v>
      </c>
      <c r="X11" s="94"/>
      <c r="Y11" s="20">
        <v>0</v>
      </c>
      <c r="Z11" s="3">
        <v>0</v>
      </c>
      <c r="AA11" s="3">
        <v>0</v>
      </c>
      <c r="AB11" s="3">
        <v>0</v>
      </c>
      <c r="AC11" s="4" t="s">
        <v>45</v>
      </c>
      <c r="AD11" s="19">
        <f>AB11-$M11</f>
        <v>-14155</v>
      </c>
      <c r="AF11" s="94"/>
      <c r="AG11" s="20">
        <v>0</v>
      </c>
      <c r="AH11" s="3">
        <v>0</v>
      </c>
      <c r="AI11" s="3">
        <v>0</v>
      </c>
      <c r="AJ11" s="3">
        <v>0</v>
      </c>
      <c r="AK11" s="4" t="s">
        <v>6</v>
      </c>
      <c r="AL11" s="19">
        <f t="shared" si="5"/>
        <v>-14155</v>
      </c>
      <c r="AN11" s="94"/>
      <c r="AO11" s="20"/>
      <c r="AP11" s="3"/>
      <c r="AQ11" s="3"/>
      <c r="AR11" s="3"/>
      <c r="AS11" s="4"/>
      <c r="AT11" s="19">
        <f>AR11-$M11</f>
        <v>-14155</v>
      </c>
      <c r="AV11" s="94"/>
      <c r="AW11" s="20">
        <f t="shared" si="6"/>
        <v>0</v>
      </c>
      <c r="AX11" s="3">
        <f t="shared" si="7"/>
        <v>0</v>
      </c>
      <c r="AY11" s="3">
        <f t="shared" si="1"/>
        <v>0</v>
      </c>
      <c r="AZ11" s="3">
        <f t="shared" si="2"/>
        <v>0</v>
      </c>
      <c r="BA11" s="3">
        <f t="shared" si="3"/>
        <v>0</v>
      </c>
      <c r="BB11" s="19">
        <f t="shared" si="4"/>
        <v>0</v>
      </c>
      <c r="BD11" s="20">
        <f t="shared" si="8"/>
        <v>0</v>
      </c>
      <c r="BE11" s="3">
        <f t="shared" si="9"/>
        <v>0</v>
      </c>
      <c r="BF11" s="3">
        <f t="shared" si="10"/>
        <v>0</v>
      </c>
      <c r="BG11" s="3">
        <f t="shared" si="11"/>
        <v>0</v>
      </c>
      <c r="BH11" s="3">
        <f t="shared" si="12"/>
        <v>0</v>
      </c>
      <c r="BI11" s="19">
        <f t="shared" si="13"/>
        <v>0</v>
      </c>
      <c r="BK11" s="20"/>
      <c r="BL11" s="3"/>
      <c r="BM11" s="3"/>
      <c r="BN11" s="3"/>
      <c r="BO11" s="3"/>
      <c r="BP11" s="19"/>
    </row>
    <row r="12" spans="2:68" ht="28.5" customHeight="1">
      <c r="B12" s="11">
        <v>1.4</v>
      </c>
      <c r="C12" s="2" t="s">
        <v>39</v>
      </c>
      <c r="D12" s="2" t="s">
        <v>18</v>
      </c>
      <c r="E12" s="2" t="s">
        <v>30</v>
      </c>
      <c r="F12" s="2" t="s">
        <v>28</v>
      </c>
      <c r="G12" s="2" t="s">
        <v>26</v>
      </c>
      <c r="H12" s="12" t="s">
        <v>35</v>
      </c>
      <c r="J12" s="20">
        <v>768</v>
      </c>
      <c r="K12" s="30">
        <v>1129.81</v>
      </c>
      <c r="L12" s="3">
        <f>(J12/K12)*M12</f>
        <v>2591.9260760658876</v>
      </c>
      <c r="M12" s="3">
        <v>3813</v>
      </c>
      <c r="N12" s="33">
        <f t="shared" si="0"/>
        <v>2683.19</v>
      </c>
      <c r="P12" s="94"/>
      <c r="Q12" s="20">
        <v>0</v>
      </c>
      <c r="R12" s="3">
        <v>768</v>
      </c>
      <c r="S12" s="3">
        <v>0</v>
      </c>
      <c r="T12" s="3">
        <v>1129.8114352156113</v>
      </c>
      <c r="U12" s="4" t="s">
        <v>46</v>
      </c>
      <c r="V12" s="19">
        <f>T12-$M12</f>
        <v>-2683.1885647843887</v>
      </c>
      <c r="X12" s="94"/>
      <c r="Y12" s="20">
        <v>384</v>
      </c>
      <c r="Z12" s="3">
        <v>768</v>
      </c>
      <c r="AA12" s="3">
        <v>1906.5</v>
      </c>
      <c r="AB12" s="3">
        <v>3813</v>
      </c>
      <c r="AC12" s="4" t="s">
        <v>46</v>
      </c>
      <c r="AD12" s="19">
        <f>AB12-$M12</f>
        <v>0</v>
      </c>
      <c r="AF12" s="94"/>
      <c r="AG12" s="20">
        <v>576</v>
      </c>
      <c r="AH12" s="3">
        <v>768</v>
      </c>
      <c r="AI12" s="3">
        <v>2859.75</v>
      </c>
      <c r="AJ12" s="3">
        <v>3813</v>
      </c>
      <c r="AK12" s="4" t="s">
        <v>6</v>
      </c>
      <c r="AL12" s="19">
        <f t="shared" si="5"/>
        <v>0</v>
      </c>
      <c r="AN12" s="94"/>
      <c r="AO12" s="20"/>
      <c r="AP12" s="3"/>
      <c r="AQ12" s="3"/>
      <c r="AR12" s="3"/>
      <c r="AS12" s="4"/>
      <c r="AT12" s="19">
        <f>AR12-$M12</f>
        <v>-3813</v>
      </c>
      <c r="AV12" s="94"/>
      <c r="AW12" s="20">
        <f t="shared" si="6"/>
        <v>0</v>
      </c>
      <c r="AX12" s="3">
        <f t="shared" si="7"/>
        <v>0</v>
      </c>
      <c r="AY12" s="3">
        <f t="shared" si="1"/>
        <v>0</v>
      </c>
      <c r="AZ12" s="3">
        <f t="shared" si="2"/>
        <v>0</v>
      </c>
      <c r="BA12" s="3">
        <f t="shared" si="3"/>
        <v>0</v>
      </c>
      <c r="BB12" s="19">
        <f t="shared" si="4"/>
        <v>0</v>
      </c>
      <c r="BD12" s="20">
        <f t="shared" si="8"/>
        <v>128</v>
      </c>
      <c r="BE12" s="3">
        <f t="shared" si="9"/>
        <v>635.5</v>
      </c>
      <c r="BF12" s="3">
        <f t="shared" si="10"/>
        <v>128</v>
      </c>
      <c r="BG12" s="3">
        <f t="shared" si="11"/>
        <v>635.5</v>
      </c>
      <c r="BH12" s="3">
        <f t="shared" si="12"/>
        <v>128</v>
      </c>
      <c r="BI12" s="19">
        <f t="shared" si="13"/>
        <v>635.5</v>
      </c>
      <c r="BK12" s="20"/>
      <c r="BL12" s="3"/>
      <c r="BM12" s="3"/>
      <c r="BN12" s="3"/>
      <c r="BO12" s="3"/>
      <c r="BP12" s="19"/>
    </row>
    <row r="13" spans="2:68" ht="28.5" customHeight="1">
      <c r="B13" s="11">
        <v>1.5</v>
      </c>
      <c r="C13" s="2" t="s">
        <v>40</v>
      </c>
      <c r="D13" s="2" t="s">
        <v>19</v>
      </c>
      <c r="E13" s="2" t="s">
        <v>31</v>
      </c>
      <c r="F13" s="2" t="s">
        <v>3</v>
      </c>
      <c r="G13" s="2" t="s">
        <v>13</v>
      </c>
      <c r="H13" s="12" t="s">
        <v>14</v>
      </c>
      <c r="J13" s="20">
        <v>23483.663</v>
      </c>
      <c r="K13" s="30">
        <v>38642.645493036602</v>
      </c>
      <c r="L13" s="3">
        <v>23483.663</v>
      </c>
      <c r="M13" s="3">
        <v>38642.645493036602</v>
      </c>
      <c r="N13" s="34">
        <v>0</v>
      </c>
      <c r="P13" s="94"/>
      <c r="Q13" s="20">
        <v>0</v>
      </c>
      <c r="R13" s="3">
        <v>4015</v>
      </c>
      <c r="S13" s="3">
        <v>0</v>
      </c>
      <c r="T13" s="3">
        <v>6976</v>
      </c>
      <c r="U13" s="4" t="s">
        <v>48</v>
      </c>
      <c r="V13" s="19">
        <f t="shared" ref="V13" si="14">T13-$M13</f>
        <v>-31666.645493036602</v>
      </c>
      <c r="X13" s="94"/>
      <c r="Y13" s="20">
        <v>1342</v>
      </c>
      <c r="Z13" s="3">
        <v>2442</v>
      </c>
      <c r="AA13" s="3">
        <v>3901.194</v>
      </c>
      <c r="AB13" s="3">
        <v>7074</v>
      </c>
      <c r="AC13" s="4" t="s">
        <v>48</v>
      </c>
      <c r="AD13" s="19">
        <f t="shared" ref="AD13" si="15">AB13-$M13</f>
        <v>-31568.645493036602</v>
      </c>
      <c r="AF13" s="94"/>
      <c r="AG13" s="20">
        <v>3019.5</v>
      </c>
      <c r="AH13" s="3">
        <v>4026</v>
      </c>
      <c r="AI13" s="3">
        <v>5305.5</v>
      </c>
      <c r="AJ13" s="3">
        <v>7074</v>
      </c>
      <c r="AK13" s="4" t="s">
        <v>113</v>
      </c>
      <c r="AL13" s="19">
        <f t="shared" si="5"/>
        <v>-31568.645493036602</v>
      </c>
      <c r="AN13" s="94"/>
      <c r="AO13" s="20"/>
      <c r="AP13" s="3"/>
      <c r="AQ13" s="3"/>
      <c r="AR13" s="3"/>
      <c r="AS13" s="4"/>
      <c r="AT13" s="19">
        <f t="shared" ref="AT13" si="16">AR13-$M13</f>
        <v>-38642.645493036602</v>
      </c>
      <c r="AV13" s="94"/>
      <c r="AW13" s="20">
        <f t="shared" si="6"/>
        <v>0</v>
      </c>
      <c r="AX13" s="3">
        <f t="shared" si="7"/>
        <v>0</v>
      </c>
      <c r="AY13" s="3">
        <f t="shared" si="1"/>
        <v>0</v>
      </c>
      <c r="AZ13" s="3">
        <f t="shared" si="2"/>
        <v>0</v>
      </c>
      <c r="BA13" s="3">
        <f t="shared" si="3"/>
        <v>0</v>
      </c>
      <c r="BB13" s="19">
        <f t="shared" si="4"/>
        <v>0</v>
      </c>
      <c r="BD13" s="20">
        <f t="shared" si="8"/>
        <v>447.33333333333331</v>
      </c>
      <c r="BE13" s="3">
        <f t="shared" si="9"/>
        <v>1300.3979999999999</v>
      </c>
      <c r="BF13" s="3">
        <f t="shared" si="10"/>
        <v>447.33333333333331</v>
      </c>
      <c r="BG13" s="3">
        <f t="shared" si="11"/>
        <v>1300.3979999999999</v>
      </c>
      <c r="BH13" s="3">
        <f t="shared" si="12"/>
        <v>447.33333333333331</v>
      </c>
      <c r="BI13" s="19">
        <f t="shared" si="13"/>
        <v>1300.3979999999999</v>
      </c>
      <c r="BK13" s="20"/>
      <c r="BL13" s="3"/>
      <c r="BM13" s="3"/>
      <c r="BN13" s="3"/>
      <c r="BO13" s="3"/>
      <c r="BP13" s="19"/>
    </row>
    <row r="14" spans="2:68" ht="28.5" customHeight="1">
      <c r="B14" s="11">
        <v>1.6</v>
      </c>
      <c r="C14" s="2" t="s">
        <v>41</v>
      </c>
      <c r="D14" s="2" t="s">
        <v>20</v>
      </c>
      <c r="E14" s="2" t="s">
        <v>32</v>
      </c>
      <c r="F14" s="2" t="s">
        <v>3</v>
      </c>
      <c r="G14" s="2" t="s">
        <v>13</v>
      </c>
      <c r="H14" s="12" t="s">
        <v>14</v>
      </c>
      <c r="J14" s="20">
        <v>0</v>
      </c>
      <c r="K14" s="30">
        <v>0</v>
      </c>
      <c r="L14" s="3">
        <v>0</v>
      </c>
      <c r="M14" s="3">
        <v>0</v>
      </c>
      <c r="N14" s="34">
        <v>0</v>
      </c>
      <c r="P14" s="94"/>
      <c r="Q14" s="20">
        <v>0</v>
      </c>
      <c r="R14" s="3">
        <v>0</v>
      </c>
      <c r="S14" s="3">
        <v>0</v>
      </c>
      <c r="T14" s="3">
        <v>0</v>
      </c>
      <c r="U14" s="4" t="s">
        <v>49</v>
      </c>
      <c r="V14" s="19" t="s">
        <v>6</v>
      </c>
      <c r="X14" s="94"/>
      <c r="Y14" s="20">
        <v>0</v>
      </c>
      <c r="Z14" s="3">
        <v>0</v>
      </c>
      <c r="AA14" s="3">
        <v>0</v>
      </c>
      <c r="AB14" s="3">
        <v>0</v>
      </c>
      <c r="AC14" s="4" t="s">
        <v>49</v>
      </c>
      <c r="AD14" s="19" t="s">
        <v>6</v>
      </c>
      <c r="AF14" s="94"/>
      <c r="AG14" s="20">
        <v>0</v>
      </c>
      <c r="AH14" s="3">
        <v>0</v>
      </c>
      <c r="AI14" s="3">
        <v>0</v>
      </c>
      <c r="AJ14" s="3">
        <v>0</v>
      </c>
      <c r="AK14" s="4" t="s">
        <v>6</v>
      </c>
      <c r="AL14" s="19">
        <f t="shared" si="5"/>
        <v>0</v>
      </c>
      <c r="AN14" s="94"/>
      <c r="AO14" s="20"/>
      <c r="AP14" s="3"/>
      <c r="AQ14" s="3"/>
      <c r="AR14" s="3"/>
      <c r="AS14" s="4"/>
      <c r="AT14" s="19" t="s">
        <v>6</v>
      </c>
      <c r="AV14" s="94"/>
      <c r="AW14" s="20">
        <f t="shared" si="6"/>
        <v>0</v>
      </c>
      <c r="AX14" s="3">
        <f t="shared" si="7"/>
        <v>0</v>
      </c>
      <c r="AY14" s="3">
        <f t="shared" si="1"/>
        <v>0</v>
      </c>
      <c r="AZ14" s="3">
        <f t="shared" si="2"/>
        <v>0</v>
      </c>
      <c r="BA14" s="3">
        <f t="shared" si="3"/>
        <v>0</v>
      </c>
      <c r="BB14" s="19">
        <f t="shared" si="4"/>
        <v>0</v>
      </c>
      <c r="BD14" s="20">
        <f t="shared" si="8"/>
        <v>0</v>
      </c>
      <c r="BE14" s="3">
        <f t="shared" si="9"/>
        <v>0</v>
      </c>
      <c r="BF14" s="3">
        <f t="shared" si="10"/>
        <v>0</v>
      </c>
      <c r="BG14" s="3">
        <f t="shared" si="11"/>
        <v>0</v>
      </c>
      <c r="BH14" s="3">
        <f t="shared" si="12"/>
        <v>0</v>
      </c>
      <c r="BI14" s="19">
        <f t="shared" si="13"/>
        <v>0</v>
      </c>
      <c r="BK14" s="20"/>
      <c r="BL14" s="3"/>
      <c r="BM14" s="3"/>
      <c r="BN14" s="3"/>
      <c r="BO14" s="3"/>
      <c r="BP14" s="19"/>
    </row>
    <row r="15" spans="2:68" ht="28.5" customHeight="1">
      <c r="B15" s="11">
        <v>1.7</v>
      </c>
      <c r="C15" s="2" t="s">
        <v>42</v>
      </c>
      <c r="D15" s="2" t="s">
        <v>11</v>
      </c>
      <c r="E15" s="2" t="s">
        <v>33</v>
      </c>
      <c r="F15" s="2" t="s">
        <v>28</v>
      </c>
      <c r="G15" s="2" t="s">
        <v>13</v>
      </c>
      <c r="H15" s="12" t="s">
        <v>36</v>
      </c>
      <c r="J15" s="20">
        <v>108</v>
      </c>
      <c r="K15" s="30">
        <v>158.879733077195</v>
      </c>
      <c r="L15" s="3">
        <v>108</v>
      </c>
      <c r="M15" s="3">
        <v>158.879733077195</v>
      </c>
      <c r="N15" s="34">
        <f>M15-K15</f>
        <v>0</v>
      </c>
      <c r="P15" s="94"/>
      <c r="Q15" s="20">
        <v>0</v>
      </c>
      <c r="R15" s="3">
        <v>0</v>
      </c>
      <c r="S15" s="3">
        <v>0</v>
      </c>
      <c r="T15" s="3">
        <v>0</v>
      </c>
      <c r="U15" s="4" t="s">
        <v>50</v>
      </c>
      <c r="V15" s="19">
        <f>T15-$M15</f>
        <v>-158.879733077195</v>
      </c>
      <c r="X15" s="94"/>
      <c r="Y15" s="20">
        <v>0</v>
      </c>
      <c r="Z15" s="3">
        <v>0</v>
      </c>
      <c r="AA15" s="3">
        <v>0</v>
      </c>
      <c r="AB15" s="3">
        <v>0</v>
      </c>
      <c r="AC15" s="4" t="s">
        <v>50</v>
      </c>
      <c r="AD15" s="19">
        <f>AB15-$M15</f>
        <v>-158.879733077195</v>
      </c>
      <c r="AF15" s="94"/>
      <c r="AG15" s="20">
        <v>0</v>
      </c>
      <c r="AH15" s="3">
        <v>0</v>
      </c>
      <c r="AI15" s="3">
        <v>0</v>
      </c>
      <c r="AJ15" s="3">
        <v>0</v>
      </c>
      <c r="AK15" s="4" t="s">
        <v>114</v>
      </c>
      <c r="AL15" s="19">
        <f t="shared" si="5"/>
        <v>-158.879733077195</v>
      </c>
      <c r="AN15" s="94"/>
      <c r="AO15" s="20"/>
      <c r="AP15" s="3"/>
      <c r="AQ15" s="3"/>
      <c r="AR15" s="3"/>
      <c r="AS15" s="4"/>
      <c r="AT15" s="19">
        <f>AR15-$M15</f>
        <v>-158.879733077195</v>
      </c>
      <c r="AV15" s="94"/>
      <c r="AW15" s="20">
        <f t="shared" si="6"/>
        <v>0</v>
      </c>
      <c r="AX15" s="3">
        <f t="shared" si="7"/>
        <v>0</v>
      </c>
      <c r="AY15" s="3">
        <f t="shared" si="1"/>
        <v>0</v>
      </c>
      <c r="AZ15" s="3">
        <f t="shared" si="2"/>
        <v>0</v>
      </c>
      <c r="BA15" s="3">
        <f t="shared" si="3"/>
        <v>0</v>
      </c>
      <c r="BB15" s="19">
        <f t="shared" si="4"/>
        <v>0</v>
      </c>
      <c r="BD15" s="20">
        <f t="shared" si="8"/>
        <v>0</v>
      </c>
      <c r="BE15" s="3">
        <f t="shared" si="9"/>
        <v>0</v>
      </c>
      <c r="BF15" s="3">
        <f t="shared" si="10"/>
        <v>0</v>
      </c>
      <c r="BG15" s="3">
        <f t="shared" si="11"/>
        <v>0</v>
      </c>
      <c r="BH15" s="3">
        <f t="shared" si="12"/>
        <v>0</v>
      </c>
      <c r="BI15" s="19">
        <f t="shared" si="13"/>
        <v>0</v>
      </c>
      <c r="BK15" s="20"/>
      <c r="BL15" s="3"/>
      <c r="BM15" s="3"/>
      <c r="BN15" s="3"/>
      <c r="BO15" s="3"/>
      <c r="BP15" s="19"/>
    </row>
    <row r="16" spans="2:68" ht="28.5" customHeight="1">
      <c r="B16" s="103">
        <v>1.8</v>
      </c>
      <c r="C16" s="2" t="s">
        <v>43</v>
      </c>
      <c r="D16" s="2" t="s">
        <v>21</v>
      </c>
      <c r="E16" s="2" t="s">
        <v>33</v>
      </c>
      <c r="F16" s="2" t="s">
        <v>28</v>
      </c>
      <c r="G16" s="2" t="s">
        <v>13</v>
      </c>
      <c r="H16" s="12" t="s">
        <v>36</v>
      </c>
      <c r="J16" s="20">
        <v>0</v>
      </c>
      <c r="K16" s="30">
        <v>0</v>
      </c>
      <c r="L16" s="3">
        <v>0</v>
      </c>
      <c r="M16" s="3">
        <v>0</v>
      </c>
      <c r="N16" s="34">
        <f>M16-K16</f>
        <v>0</v>
      </c>
      <c r="P16" s="94"/>
      <c r="Q16" s="20">
        <v>0</v>
      </c>
      <c r="R16" s="3">
        <v>0</v>
      </c>
      <c r="S16" s="3">
        <v>0</v>
      </c>
      <c r="T16" s="3">
        <v>0</v>
      </c>
      <c r="U16" s="4" t="s">
        <v>51</v>
      </c>
      <c r="V16" s="19">
        <f t="shared" ref="V16:V17" si="17">T16-$M16</f>
        <v>0</v>
      </c>
      <c r="X16" s="94"/>
      <c r="Y16" s="20">
        <v>0</v>
      </c>
      <c r="Z16" s="3">
        <v>0</v>
      </c>
      <c r="AA16" s="3">
        <v>0</v>
      </c>
      <c r="AB16" s="3">
        <v>0</v>
      </c>
      <c r="AC16" s="4" t="s">
        <v>51</v>
      </c>
      <c r="AD16" s="19">
        <f t="shared" ref="AD16:AD17" si="18">AB16-$M16</f>
        <v>0</v>
      </c>
      <c r="AF16" s="94"/>
      <c r="AG16" s="20">
        <v>0</v>
      </c>
      <c r="AH16" s="3">
        <v>0</v>
      </c>
      <c r="AI16" s="3">
        <v>0</v>
      </c>
      <c r="AJ16" s="3">
        <v>0</v>
      </c>
      <c r="AK16" s="4" t="s">
        <v>114</v>
      </c>
      <c r="AL16" s="19">
        <f t="shared" si="5"/>
        <v>0</v>
      </c>
      <c r="AN16" s="94"/>
      <c r="AO16" s="20"/>
      <c r="AP16" s="3"/>
      <c r="AQ16" s="3"/>
      <c r="AR16" s="3"/>
      <c r="AS16" s="4"/>
      <c r="AT16" s="19">
        <f t="shared" ref="AT16:AT17" si="19">AR16-$M16</f>
        <v>0</v>
      </c>
      <c r="AV16" s="94"/>
      <c r="AW16" s="20">
        <f t="shared" si="6"/>
        <v>0</v>
      </c>
      <c r="AX16" s="3">
        <f t="shared" si="7"/>
        <v>0</v>
      </c>
      <c r="AY16" s="3">
        <f t="shared" si="1"/>
        <v>0</v>
      </c>
      <c r="AZ16" s="3">
        <f t="shared" si="2"/>
        <v>0</v>
      </c>
      <c r="BA16" s="3">
        <f t="shared" si="3"/>
        <v>0</v>
      </c>
      <c r="BB16" s="19">
        <f t="shared" si="4"/>
        <v>0</v>
      </c>
      <c r="BD16" s="20">
        <f t="shared" si="8"/>
        <v>0</v>
      </c>
      <c r="BE16" s="3">
        <f t="shared" si="9"/>
        <v>0</v>
      </c>
      <c r="BF16" s="3">
        <f t="shared" si="10"/>
        <v>0</v>
      </c>
      <c r="BG16" s="3">
        <f t="shared" si="11"/>
        <v>0</v>
      </c>
      <c r="BH16" s="3">
        <f t="shared" si="12"/>
        <v>0</v>
      </c>
      <c r="BI16" s="19">
        <f t="shared" si="13"/>
        <v>0</v>
      </c>
      <c r="BK16" s="20"/>
      <c r="BL16" s="3"/>
      <c r="BM16" s="3"/>
      <c r="BN16" s="3"/>
      <c r="BO16" s="3"/>
      <c r="BP16" s="19"/>
    </row>
    <row r="17" spans="2:68" ht="28.5" customHeight="1">
      <c r="B17" s="11">
        <v>1.9</v>
      </c>
      <c r="C17" s="2" t="s">
        <v>43</v>
      </c>
      <c r="D17" s="2" t="s">
        <v>22</v>
      </c>
      <c r="E17" s="2" t="s">
        <v>33</v>
      </c>
      <c r="F17" s="2" t="s">
        <v>28</v>
      </c>
      <c r="G17" s="2" t="s">
        <v>13</v>
      </c>
      <c r="H17" s="12" t="s">
        <v>36</v>
      </c>
      <c r="J17" s="20">
        <v>2146.1999999999998</v>
      </c>
      <c r="K17" s="30">
        <v>6439</v>
      </c>
      <c r="L17" s="3">
        <v>2146.1999999999998</v>
      </c>
      <c r="M17" s="3">
        <v>6439</v>
      </c>
      <c r="N17" s="34">
        <f>M17-K17</f>
        <v>0</v>
      </c>
      <c r="P17" s="94"/>
      <c r="Q17" s="21">
        <v>50.4</v>
      </c>
      <c r="R17" s="5">
        <v>201.6</v>
      </c>
      <c r="S17" s="5">
        <v>151.19999999999999</v>
      </c>
      <c r="T17" s="5">
        <v>604.79999999999995</v>
      </c>
      <c r="U17" s="4" t="s">
        <v>52</v>
      </c>
      <c r="V17" s="19">
        <f t="shared" si="17"/>
        <v>-5834.2</v>
      </c>
      <c r="X17" s="94"/>
      <c r="Y17" s="21">
        <v>100.80000000000001</v>
      </c>
      <c r="Z17" s="5">
        <v>201.60000000000002</v>
      </c>
      <c r="AA17" s="5">
        <v>302.40000000000003</v>
      </c>
      <c r="AB17" s="5">
        <v>604.80000000000007</v>
      </c>
      <c r="AC17" s="4" t="s">
        <v>52</v>
      </c>
      <c r="AD17" s="19">
        <f t="shared" si="18"/>
        <v>-5834.2</v>
      </c>
      <c r="AF17" s="94"/>
      <c r="AG17" s="21">
        <v>151.20000000000002</v>
      </c>
      <c r="AH17" s="5">
        <v>453.59999999999997</v>
      </c>
      <c r="AI17" s="5">
        <v>201.6</v>
      </c>
      <c r="AJ17" s="5">
        <v>604.79999999999995</v>
      </c>
      <c r="AK17" s="4" t="s">
        <v>6</v>
      </c>
      <c r="AL17" s="19">
        <f t="shared" si="5"/>
        <v>-5834.2</v>
      </c>
      <c r="AN17" s="94"/>
      <c r="AO17" s="21"/>
      <c r="AP17" s="5"/>
      <c r="AQ17" s="5"/>
      <c r="AR17" s="5"/>
      <c r="AS17" s="4"/>
      <c r="AT17" s="19">
        <f t="shared" si="19"/>
        <v>-6439</v>
      </c>
      <c r="AV17" s="94"/>
      <c r="AW17" s="21">
        <f t="shared" si="6"/>
        <v>16.8</v>
      </c>
      <c r="AX17" s="5">
        <f t="shared" si="7"/>
        <v>50.4</v>
      </c>
      <c r="AY17" s="5">
        <f t="shared" si="1"/>
        <v>16.8</v>
      </c>
      <c r="AZ17" s="5">
        <f t="shared" si="2"/>
        <v>50.4</v>
      </c>
      <c r="BA17" s="5">
        <f t="shared" si="3"/>
        <v>16.8</v>
      </c>
      <c r="BB17" s="88">
        <f t="shared" si="4"/>
        <v>50.4</v>
      </c>
      <c r="BD17" s="21">
        <f t="shared" si="8"/>
        <v>16.800000000000004</v>
      </c>
      <c r="BE17" s="5">
        <f t="shared" si="9"/>
        <v>50.400000000000013</v>
      </c>
      <c r="BF17" s="5">
        <f t="shared" si="10"/>
        <v>16.800000000000004</v>
      </c>
      <c r="BG17" s="5">
        <f t="shared" si="11"/>
        <v>50.400000000000013</v>
      </c>
      <c r="BH17" s="5">
        <f t="shared" si="12"/>
        <v>16.800000000000004</v>
      </c>
      <c r="BI17" s="88">
        <f t="shared" si="13"/>
        <v>50.400000000000013</v>
      </c>
      <c r="BK17" s="21"/>
      <c r="BL17" s="5"/>
      <c r="BM17" s="5"/>
      <c r="BN17" s="5"/>
      <c r="BO17" s="5"/>
      <c r="BP17" s="88"/>
    </row>
    <row r="18" spans="2:68" ht="28.5" customHeight="1" thickBot="1">
      <c r="B18" s="102">
        <v>1.1000000000000001</v>
      </c>
      <c r="C18" s="14" t="s">
        <v>43</v>
      </c>
      <c r="D18" s="14" t="s">
        <v>23</v>
      </c>
      <c r="E18" s="14" t="s">
        <v>34</v>
      </c>
      <c r="F18" s="14" t="s">
        <v>3</v>
      </c>
      <c r="G18" s="14" t="s">
        <v>13</v>
      </c>
      <c r="H18" s="15" t="s">
        <v>37</v>
      </c>
      <c r="J18" s="22">
        <v>6</v>
      </c>
      <c r="K18" s="31">
        <v>2154.96</v>
      </c>
      <c r="L18" s="27">
        <v>6</v>
      </c>
      <c r="M18" s="27">
        <v>2154.96</v>
      </c>
      <c r="N18" s="37">
        <f>M18-K18</f>
        <v>0</v>
      </c>
      <c r="P18" s="94"/>
      <c r="Q18" s="22">
        <v>0</v>
      </c>
      <c r="R18" s="27">
        <v>0</v>
      </c>
      <c r="S18" s="27">
        <v>0</v>
      </c>
      <c r="T18" s="27">
        <v>0</v>
      </c>
      <c r="U18" s="38" t="s">
        <v>51</v>
      </c>
      <c r="V18" s="23">
        <f>T18-$M18</f>
        <v>-2154.96</v>
      </c>
      <c r="X18" s="94"/>
      <c r="Y18" s="22">
        <v>0</v>
      </c>
      <c r="Z18" s="27">
        <v>0</v>
      </c>
      <c r="AA18" s="27">
        <v>0</v>
      </c>
      <c r="AB18" s="27">
        <v>0</v>
      </c>
      <c r="AC18" s="38" t="s">
        <v>51</v>
      </c>
      <c r="AD18" s="23">
        <f>AB18-$M18</f>
        <v>-2154.96</v>
      </c>
      <c r="AF18" s="94"/>
      <c r="AG18" s="22">
        <v>0</v>
      </c>
      <c r="AH18" s="27">
        <v>0</v>
      </c>
      <c r="AI18" s="27">
        <v>0</v>
      </c>
      <c r="AJ18" s="27">
        <v>0</v>
      </c>
      <c r="AK18" s="38" t="s">
        <v>114</v>
      </c>
      <c r="AL18" s="23">
        <f t="shared" si="5"/>
        <v>-2154.96</v>
      </c>
      <c r="AN18" s="94"/>
      <c r="AO18" s="22"/>
      <c r="AP18" s="27"/>
      <c r="AQ18" s="27"/>
      <c r="AR18" s="27"/>
      <c r="AS18" s="38"/>
      <c r="AT18" s="23">
        <f>AR18-$M18</f>
        <v>-2154.96</v>
      </c>
      <c r="AV18" s="94"/>
      <c r="AW18" s="22">
        <f t="shared" si="6"/>
        <v>0</v>
      </c>
      <c r="AX18" s="27">
        <f t="shared" si="7"/>
        <v>0</v>
      </c>
      <c r="AY18" s="27">
        <f t="shared" si="1"/>
        <v>0</v>
      </c>
      <c r="AZ18" s="27">
        <f t="shared" si="2"/>
        <v>0</v>
      </c>
      <c r="BA18" s="27">
        <f t="shared" si="3"/>
        <v>0</v>
      </c>
      <c r="BB18" s="23">
        <f t="shared" si="4"/>
        <v>0</v>
      </c>
      <c r="BD18" s="22">
        <f t="shared" si="8"/>
        <v>0</v>
      </c>
      <c r="BE18" s="27">
        <f t="shared" si="9"/>
        <v>0</v>
      </c>
      <c r="BF18" s="27">
        <f t="shared" si="10"/>
        <v>0</v>
      </c>
      <c r="BG18" s="27">
        <f t="shared" si="11"/>
        <v>0</v>
      </c>
      <c r="BH18" s="27">
        <f t="shared" si="12"/>
        <v>0</v>
      </c>
      <c r="BI18" s="23">
        <f t="shared" si="13"/>
        <v>0</v>
      </c>
      <c r="BK18" s="22"/>
      <c r="BL18" s="27"/>
      <c r="BM18" s="27"/>
      <c r="BN18" s="27"/>
      <c r="BO18" s="27"/>
      <c r="BP18" s="23"/>
    </row>
    <row r="19" spans="2:68" ht="18.75" customHeight="1" thickBot="1">
      <c r="P19" s="94"/>
      <c r="X19" s="94"/>
      <c r="AF19" s="94"/>
      <c r="AN19" s="94"/>
      <c r="AV19" s="94"/>
    </row>
    <row r="20" spans="2:68" ht="28.5" customHeight="1" thickBot="1">
      <c r="B20" s="47">
        <v>2</v>
      </c>
      <c r="C20" s="194" t="s">
        <v>88</v>
      </c>
      <c r="D20" s="194"/>
      <c r="E20" s="194"/>
      <c r="F20" s="194"/>
      <c r="G20" s="194"/>
      <c r="H20" s="195"/>
      <c r="J20" s="48" t="s">
        <v>6</v>
      </c>
      <c r="K20" s="49">
        <f>SUM(K21:K29)</f>
        <v>92040.481106222942</v>
      </c>
      <c r="L20" s="50" t="s">
        <v>6</v>
      </c>
      <c r="M20" s="51">
        <f t="shared" ref="M20:N20" si="20">SUM(M21:M29)</f>
        <v>113682.46307472221</v>
      </c>
      <c r="N20" s="52">
        <f t="shared" si="20"/>
        <v>21641.981968499291</v>
      </c>
      <c r="P20" s="94"/>
      <c r="Q20" s="48" t="s">
        <v>6</v>
      </c>
      <c r="R20" s="50" t="s">
        <v>6</v>
      </c>
      <c r="S20" s="51">
        <f t="shared" ref="S20:T20" si="21">SUM(S21:S29)</f>
        <v>11473.680977218233</v>
      </c>
      <c r="T20" s="51">
        <f t="shared" si="21"/>
        <v>92039.486042530101</v>
      </c>
      <c r="U20" s="51" t="s">
        <v>6</v>
      </c>
      <c r="V20" s="53">
        <f>SUM(V21:V29)</f>
        <v>-21642.977032192124</v>
      </c>
      <c r="X20" s="94"/>
      <c r="Y20" s="48" t="s">
        <v>6</v>
      </c>
      <c r="Z20" s="50" t="s">
        <v>6</v>
      </c>
      <c r="AA20" s="51">
        <f t="shared" ref="AA20:AB20" si="22">SUM(AA21:AA29)</f>
        <v>39226.34643547958</v>
      </c>
      <c r="AB20" s="51">
        <f t="shared" si="22"/>
        <v>114081.40900324484</v>
      </c>
      <c r="AC20" s="51" t="s">
        <v>6</v>
      </c>
      <c r="AD20" s="53">
        <f>SUM(AD21:AD29)</f>
        <v>398.94592852261667</v>
      </c>
      <c r="AF20" s="94"/>
      <c r="AG20" s="48" t="s">
        <v>6</v>
      </c>
      <c r="AH20" s="50" t="s">
        <v>6</v>
      </c>
      <c r="AI20" s="51">
        <f t="shared" ref="AI20:AJ20" si="23">SUM(AI21:AI29)</f>
        <v>74813.069391984667</v>
      </c>
      <c r="AJ20" s="51">
        <f t="shared" si="23"/>
        <v>109952.29625538495</v>
      </c>
      <c r="AK20" s="51" t="s">
        <v>6</v>
      </c>
      <c r="AL20" s="53">
        <f>SUM(AL21:AL29)</f>
        <v>-3730.1668193372843</v>
      </c>
      <c r="AN20" s="94"/>
      <c r="AO20" s="48" t="s">
        <v>6</v>
      </c>
      <c r="AP20" s="50" t="s">
        <v>6</v>
      </c>
      <c r="AQ20" s="51">
        <f t="shared" ref="AQ20:AR20" si="24">SUM(AQ21:AQ29)</f>
        <v>0</v>
      </c>
      <c r="AR20" s="51">
        <f t="shared" si="24"/>
        <v>0</v>
      </c>
      <c r="AS20" s="51" t="s">
        <v>6</v>
      </c>
      <c r="AT20" s="53">
        <f>SUM(AT21:AT29)</f>
        <v>-113682.46307472221</v>
      </c>
      <c r="AV20" s="94"/>
      <c r="AW20" s="78" t="s">
        <v>6</v>
      </c>
      <c r="AX20" s="79">
        <f>SUM(AX21:AX29)</f>
        <v>3824.5603257394114</v>
      </c>
      <c r="AY20" s="80" t="s">
        <v>6</v>
      </c>
      <c r="AZ20" s="79">
        <f>SUM(AZ21:AZ29)</f>
        <v>3824.5603257394114</v>
      </c>
      <c r="BA20" s="80" t="s">
        <v>6</v>
      </c>
      <c r="BB20" s="81">
        <f>SUM(BB21:BB29)</f>
        <v>3824.5603257394114</v>
      </c>
      <c r="BD20" s="78" t="s">
        <v>6</v>
      </c>
      <c r="BE20" s="79">
        <f>SUM(BE21:BE29)</f>
        <v>9939.8042751958237</v>
      </c>
      <c r="BF20" s="80" t="s">
        <v>6</v>
      </c>
      <c r="BG20" s="79">
        <f>SUM(BG21:BG29)</f>
        <v>9016.1514227601529</v>
      </c>
      <c r="BH20" s="80" t="s">
        <v>6</v>
      </c>
      <c r="BI20" s="81">
        <f>SUM(BI21:BI29)</f>
        <v>8796.709760305368</v>
      </c>
      <c r="BK20" s="78" t="s">
        <v>6</v>
      </c>
      <c r="BL20" s="79">
        <f>SUM(BL21:BL29)</f>
        <v>0</v>
      </c>
      <c r="BM20" s="80" t="s">
        <v>6</v>
      </c>
      <c r="BN20" s="79">
        <f>SUM(BN21:BN29)</f>
        <v>0</v>
      </c>
      <c r="BO20" s="80" t="s">
        <v>6</v>
      </c>
      <c r="BP20" s="81">
        <f>SUM(BP21:BP29)</f>
        <v>0</v>
      </c>
    </row>
    <row r="21" spans="2:68" ht="28.5" customHeight="1">
      <c r="B21" s="8">
        <v>2.1</v>
      </c>
      <c r="C21" s="9" t="s">
        <v>54</v>
      </c>
      <c r="D21" s="9" t="s">
        <v>59</v>
      </c>
      <c r="E21" s="9" t="s">
        <v>60</v>
      </c>
      <c r="F21" s="9" t="s">
        <v>3</v>
      </c>
      <c r="G21" s="9" t="s">
        <v>69</v>
      </c>
      <c r="H21" s="10" t="s">
        <v>4</v>
      </c>
      <c r="J21" s="16">
        <v>1.1000000000000001</v>
      </c>
      <c r="K21" s="29">
        <v>14516.040933748231</v>
      </c>
      <c r="L21" s="24">
        <f>(J21/K21)*M21</f>
        <v>1.2106331251204503</v>
      </c>
      <c r="M21" s="25">
        <v>15976</v>
      </c>
      <c r="N21" s="32">
        <f t="shared" ref="N21:N29" si="25">M21-K21</f>
        <v>1459.9590662517694</v>
      </c>
      <c r="P21" s="94"/>
      <c r="Q21" s="16">
        <v>0</v>
      </c>
      <c r="R21" s="24">
        <v>1.1000000000000001</v>
      </c>
      <c r="S21" s="24">
        <v>0</v>
      </c>
      <c r="T21" s="25">
        <v>14516.040933748231</v>
      </c>
      <c r="U21" s="26" t="s">
        <v>6</v>
      </c>
      <c r="V21" s="17">
        <f t="shared" ref="V21:V29" si="26">T21-$M21</f>
        <v>-1459.9590662517694</v>
      </c>
      <c r="X21" s="94"/>
      <c r="Y21" s="16">
        <v>0.52499999999999991</v>
      </c>
      <c r="Z21" s="24">
        <v>1.5750000000000002</v>
      </c>
      <c r="AA21" s="98">
        <f t="shared" ref="AA21:AA27" si="27">(AX21+AZ21+BB21+BE21+BG21+BI21)</f>
        <v>3734.735224761198</v>
      </c>
      <c r="AB21" s="25">
        <v>23141.439480734763</v>
      </c>
      <c r="AC21" s="26" t="s">
        <v>6</v>
      </c>
      <c r="AD21" s="17">
        <f t="shared" ref="AD21:AD29" si="28">AB21-$M21</f>
        <v>7165.4394807347635</v>
      </c>
      <c r="AF21" s="94"/>
      <c r="AG21" s="16">
        <v>1.4711000000000001</v>
      </c>
      <c r="AH21" s="24">
        <v>2.2980999999999998</v>
      </c>
      <c r="AI21" s="25">
        <v>14677.583806234574</v>
      </c>
      <c r="AJ21" s="25">
        <v>23308.08632043306</v>
      </c>
      <c r="AK21" s="26" t="s">
        <v>6</v>
      </c>
      <c r="AL21" s="17">
        <f t="shared" ref="AL21:AL27" si="29">AJ21-$M21</f>
        <v>7332.0863204330599</v>
      </c>
      <c r="AN21" s="94"/>
      <c r="AO21" s="16"/>
      <c r="AP21" s="24"/>
      <c r="AQ21" s="24"/>
      <c r="AR21" s="25"/>
      <c r="AS21" s="26"/>
      <c r="AT21" s="17">
        <f t="shared" ref="AT21:AT29" si="30">AR21-$M21</f>
        <v>-15976</v>
      </c>
      <c r="AV21" s="94"/>
      <c r="AW21" s="16">
        <f t="shared" ref="AW21:AW29" si="31">$Q21/3</f>
        <v>0</v>
      </c>
      <c r="AX21" s="24">
        <f t="shared" ref="AX21:AX29" si="32">$S21/3</f>
        <v>0</v>
      </c>
      <c r="AY21" s="24">
        <f t="shared" ref="AY21:AY29" si="33">$Q21/3</f>
        <v>0</v>
      </c>
      <c r="AZ21" s="24">
        <f t="shared" ref="AZ21:AZ29" si="34">$S21/3</f>
        <v>0</v>
      </c>
      <c r="BA21" s="24">
        <f t="shared" ref="BA21:BA29" si="35">$Q21/3</f>
        <v>0</v>
      </c>
      <c r="BB21" s="89">
        <f t="shared" ref="BB21:BB29" si="36">$S21/3</f>
        <v>0</v>
      </c>
      <c r="BD21" s="16">
        <f t="shared" ref="BD21:BD27" si="37">($Y21-$Q21)/3</f>
        <v>0.17499999999999996</v>
      </c>
      <c r="BE21" s="25">
        <f>(BD21*BD$5)-4660/3</f>
        <v>1431.5375358502608</v>
      </c>
      <c r="BF21" s="24">
        <f t="shared" ref="BF21:BF27" si="38">($Y21-$Q21)/3</f>
        <v>0.17499999999999996</v>
      </c>
      <c r="BG21" s="25">
        <f>(BF21*BF$5)-4660/3</f>
        <v>1181.321979849886</v>
      </c>
      <c r="BH21" s="24">
        <f t="shared" ref="BH21:BH27" si="39">($Y21-$Q21)/3</f>
        <v>0.17499999999999996</v>
      </c>
      <c r="BI21" s="17">
        <f>(BH21*BH$5)-4660/3</f>
        <v>1121.8757090610509</v>
      </c>
      <c r="BK21" s="16"/>
      <c r="BL21" s="25"/>
      <c r="BM21" s="24"/>
      <c r="BN21" s="25"/>
      <c r="BO21" s="24"/>
      <c r="BP21" s="17"/>
    </row>
    <row r="22" spans="2:68" ht="28.5" customHeight="1">
      <c r="B22" s="11">
        <v>2.2000000000000002</v>
      </c>
      <c r="C22" s="2" t="s">
        <v>55</v>
      </c>
      <c r="D22" s="2" t="s">
        <v>61</v>
      </c>
      <c r="E22" s="2" t="s">
        <v>60</v>
      </c>
      <c r="F22" s="2" t="s">
        <v>3</v>
      </c>
      <c r="G22" s="2" t="s">
        <v>69</v>
      </c>
      <c r="H22" s="12" t="s">
        <v>4</v>
      </c>
      <c r="J22" s="18">
        <v>0.8</v>
      </c>
      <c r="K22" s="30">
        <v>14896.029769998713</v>
      </c>
      <c r="L22" s="6">
        <f>(J22/K22)*M22</f>
        <v>1.3204111936655267</v>
      </c>
      <c r="M22" s="3">
        <v>24586.105561851527</v>
      </c>
      <c r="N22" s="33">
        <f t="shared" si="25"/>
        <v>9690.0757918528143</v>
      </c>
      <c r="P22" s="94"/>
      <c r="Q22" s="18">
        <v>0.1981</v>
      </c>
      <c r="R22" s="6">
        <v>0.8</v>
      </c>
      <c r="S22" s="3">
        <v>2742.4945016387228</v>
      </c>
      <c r="T22" s="3">
        <v>14896.029769998713</v>
      </c>
      <c r="U22" s="7" t="s">
        <v>6</v>
      </c>
      <c r="V22" s="19">
        <f t="shared" si="26"/>
        <v>-9690.0757918528143</v>
      </c>
      <c r="X22" s="94"/>
      <c r="Y22" s="18">
        <v>0.68110000000000004</v>
      </c>
      <c r="Z22" s="6">
        <v>1.6471000000000002</v>
      </c>
      <c r="AA22" s="3">
        <f t="shared" si="27"/>
        <v>10465.650908419027</v>
      </c>
      <c r="AB22" s="3">
        <v>28319.818823914709</v>
      </c>
      <c r="AC22" s="7" t="s">
        <v>6</v>
      </c>
      <c r="AD22" s="19">
        <f t="shared" si="28"/>
        <v>3733.7132620631819</v>
      </c>
      <c r="AF22" s="94"/>
      <c r="AG22" s="18">
        <v>0.82</v>
      </c>
      <c r="AH22" s="6">
        <v>1.32</v>
      </c>
      <c r="AI22" s="3">
        <v>14241.0630594999</v>
      </c>
      <c r="AJ22" s="3">
        <v>24795</v>
      </c>
      <c r="AK22" s="7" t="s">
        <v>6</v>
      </c>
      <c r="AL22" s="19">
        <f t="shared" si="29"/>
        <v>208.89443814847255</v>
      </c>
      <c r="AN22" s="94"/>
      <c r="AO22" s="18"/>
      <c r="AP22" s="6"/>
      <c r="AQ22" s="3"/>
      <c r="AR22" s="3"/>
      <c r="AS22" s="7"/>
      <c r="AT22" s="19">
        <f t="shared" si="30"/>
        <v>-24586.105561851527</v>
      </c>
      <c r="AV22" s="94"/>
      <c r="AW22" s="71">
        <f t="shared" si="31"/>
        <v>6.6033333333333333E-2</v>
      </c>
      <c r="AX22" s="3">
        <f t="shared" si="32"/>
        <v>914.1648338795743</v>
      </c>
      <c r="AY22" s="72">
        <f t="shared" si="33"/>
        <v>6.6033333333333333E-2</v>
      </c>
      <c r="AZ22" s="3">
        <f t="shared" si="34"/>
        <v>914.1648338795743</v>
      </c>
      <c r="BA22" s="72">
        <f t="shared" si="35"/>
        <v>6.6033333333333333E-2</v>
      </c>
      <c r="BB22" s="19">
        <f t="shared" si="36"/>
        <v>914.1648338795743</v>
      </c>
      <c r="BD22" s="71">
        <f t="shared" si="37"/>
        <v>0.161</v>
      </c>
      <c r="BE22" s="3">
        <f>BD22*BD$5</f>
        <v>2746.0811996489074</v>
      </c>
      <c r="BF22" s="72">
        <f t="shared" si="38"/>
        <v>0.161</v>
      </c>
      <c r="BG22" s="3">
        <f>BF22*BF$5</f>
        <v>2515.8828881285626</v>
      </c>
      <c r="BH22" s="72">
        <f t="shared" si="39"/>
        <v>0.161</v>
      </c>
      <c r="BI22" s="19">
        <f>BH22*BH$5</f>
        <v>2461.1923190028342</v>
      </c>
      <c r="BK22" s="71"/>
      <c r="BL22" s="3"/>
      <c r="BM22" s="72"/>
      <c r="BN22" s="3"/>
      <c r="BO22" s="72"/>
      <c r="BP22" s="19"/>
    </row>
    <row r="23" spans="2:68" ht="28.5" customHeight="1">
      <c r="B23" s="11">
        <v>2.2999999999999998</v>
      </c>
      <c r="C23" s="2" t="s">
        <v>55</v>
      </c>
      <c r="D23" s="2" t="s">
        <v>62</v>
      </c>
      <c r="E23" s="2" t="s">
        <v>26</v>
      </c>
      <c r="F23" s="2" t="s">
        <v>3</v>
      </c>
      <c r="G23" s="2" t="s">
        <v>70</v>
      </c>
      <c r="H23" s="12" t="s">
        <v>5</v>
      </c>
      <c r="J23" s="20">
        <v>3276</v>
      </c>
      <c r="K23" s="30">
        <v>4817.1601819100561</v>
      </c>
      <c r="L23" s="3">
        <f>(J23/K23)*M23</f>
        <v>3467.4565929693958</v>
      </c>
      <c r="M23" s="3">
        <v>5098.6855409504515</v>
      </c>
      <c r="N23" s="33">
        <f t="shared" si="25"/>
        <v>281.52535904039541</v>
      </c>
      <c r="P23" s="94"/>
      <c r="Q23" s="20">
        <v>724.45</v>
      </c>
      <c r="R23" s="3">
        <v>3276</v>
      </c>
      <c r="S23" s="3">
        <v>1065.872093023256</v>
      </c>
      <c r="T23" s="3">
        <v>4817.1601819100561</v>
      </c>
      <c r="U23" s="7" t="s">
        <v>6</v>
      </c>
      <c r="V23" s="19">
        <f t="shared" si="26"/>
        <v>-281.52535904039541</v>
      </c>
      <c r="X23" s="94"/>
      <c r="Y23" s="99">
        <f>Q23*2</f>
        <v>1448.9</v>
      </c>
      <c r="Z23" s="100">
        <f>R23</f>
        <v>3276</v>
      </c>
      <c r="AA23" s="3">
        <f t="shared" si="27"/>
        <v>2223.8720930232557</v>
      </c>
      <c r="AB23" s="3">
        <v>5028.8720930232557</v>
      </c>
      <c r="AC23" s="7" t="s">
        <v>6</v>
      </c>
      <c r="AD23" s="19">
        <f t="shared" si="28"/>
        <v>-69.813447927195739</v>
      </c>
      <c r="AF23" s="94"/>
      <c r="AG23" s="20">
        <v>2173.5</v>
      </c>
      <c r="AH23" s="3">
        <v>2897</v>
      </c>
      <c r="AI23" s="3">
        <v>3336.5810000000001</v>
      </c>
      <c r="AJ23" s="3">
        <v>5117</v>
      </c>
      <c r="AK23" s="7" t="s">
        <v>6</v>
      </c>
      <c r="AL23" s="19">
        <f t="shared" si="29"/>
        <v>18.314459049548532</v>
      </c>
      <c r="AN23" s="94"/>
      <c r="AO23" s="20"/>
      <c r="AP23" s="3"/>
      <c r="AQ23" s="3"/>
      <c r="AR23" s="3"/>
      <c r="AS23" s="7"/>
      <c r="AT23" s="19">
        <f t="shared" si="30"/>
        <v>-5098.6855409504515</v>
      </c>
      <c r="AV23" s="94"/>
      <c r="AW23" s="20">
        <f t="shared" si="31"/>
        <v>241.48333333333335</v>
      </c>
      <c r="AX23" s="3">
        <f t="shared" si="32"/>
        <v>355.29069767441865</v>
      </c>
      <c r="AY23" s="3">
        <f t="shared" si="33"/>
        <v>241.48333333333335</v>
      </c>
      <c r="AZ23" s="3">
        <f t="shared" si="34"/>
        <v>355.29069767441865</v>
      </c>
      <c r="BA23" s="3">
        <f t="shared" si="35"/>
        <v>241.48333333333335</v>
      </c>
      <c r="BB23" s="19">
        <f t="shared" si="36"/>
        <v>355.29069767441865</v>
      </c>
      <c r="BD23" s="20">
        <f t="shared" si="37"/>
        <v>241.48333333333335</v>
      </c>
      <c r="BE23" s="3">
        <v>386</v>
      </c>
      <c r="BF23" s="3">
        <f t="shared" si="38"/>
        <v>241.48333333333335</v>
      </c>
      <c r="BG23" s="3">
        <v>386</v>
      </c>
      <c r="BH23" s="3">
        <f t="shared" si="39"/>
        <v>241.48333333333335</v>
      </c>
      <c r="BI23" s="19">
        <v>386</v>
      </c>
      <c r="BK23" s="20"/>
      <c r="BL23" s="3"/>
      <c r="BM23" s="3"/>
      <c r="BN23" s="3"/>
      <c r="BO23" s="3"/>
      <c r="BP23" s="19"/>
    </row>
    <row r="24" spans="2:68" ht="28.5" customHeight="1">
      <c r="B24" s="11">
        <v>2.4</v>
      </c>
      <c r="C24" s="2" t="s">
        <v>56</v>
      </c>
      <c r="D24" s="2" t="s">
        <v>63</v>
      </c>
      <c r="E24" s="2" t="s">
        <v>60</v>
      </c>
      <c r="F24" s="2" t="s">
        <v>3</v>
      </c>
      <c r="G24" s="2" t="s">
        <v>69</v>
      </c>
      <c r="H24" s="12" t="s">
        <v>4</v>
      </c>
      <c r="J24" s="18">
        <v>2.0862775134644762</v>
      </c>
      <c r="K24" s="30">
        <v>38847.56</v>
      </c>
      <c r="L24" s="6">
        <f>(J24/K24)*M24</f>
        <v>2.2265583428407711</v>
      </c>
      <c r="M24" s="3">
        <v>41459.661171044987</v>
      </c>
      <c r="N24" s="33">
        <f t="shared" si="25"/>
        <v>2612.1011710449893</v>
      </c>
      <c r="P24" s="94"/>
      <c r="Q24" s="18">
        <v>0.52500000000000002</v>
      </c>
      <c r="R24" s="6">
        <v>2.0862775134644762</v>
      </c>
      <c r="S24" s="3">
        <v>7268.0949690072157</v>
      </c>
      <c r="T24" s="3">
        <v>38846.564936307164</v>
      </c>
      <c r="U24" s="7" t="s">
        <v>6</v>
      </c>
      <c r="V24" s="19">
        <f t="shared" si="26"/>
        <v>-2613.0962347378227</v>
      </c>
      <c r="X24" s="94"/>
      <c r="Y24" s="18">
        <v>1.4550000000000001</v>
      </c>
      <c r="Z24" s="6">
        <v>3.3150000000000004</v>
      </c>
      <c r="AA24" s="3">
        <f t="shared" si="27"/>
        <v>22138.768795727054</v>
      </c>
      <c r="AB24" s="3">
        <v>56516.359192023083</v>
      </c>
      <c r="AC24" s="7" t="s">
        <v>6</v>
      </c>
      <c r="AD24" s="19">
        <f t="shared" si="28"/>
        <v>15056.698020978096</v>
      </c>
      <c r="AF24" s="94"/>
      <c r="AG24" s="18">
        <v>2.3929999999999998</v>
      </c>
      <c r="AH24" s="6">
        <v>3.19</v>
      </c>
      <c r="AI24" s="3">
        <v>41559.590123638001</v>
      </c>
      <c r="AJ24" s="3">
        <v>55401.208731468971</v>
      </c>
      <c r="AK24" s="7" t="s">
        <v>6</v>
      </c>
      <c r="AL24" s="19">
        <f t="shared" si="29"/>
        <v>13941.547560423984</v>
      </c>
      <c r="AN24" s="94"/>
      <c r="AO24" s="18"/>
      <c r="AP24" s="6"/>
      <c r="AQ24" s="3"/>
      <c r="AR24" s="3"/>
      <c r="AS24" s="7"/>
      <c r="AT24" s="19">
        <f t="shared" si="30"/>
        <v>-41459.661171044987</v>
      </c>
      <c r="AV24" s="94"/>
      <c r="AW24" s="71">
        <f t="shared" si="31"/>
        <v>0.17500000000000002</v>
      </c>
      <c r="AX24" s="3">
        <f t="shared" si="32"/>
        <v>2422.6983230024052</v>
      </c>
      <c r="AY24" s="72">
        <f t="shared" si="33"/>
        <v>0.17500000000000002</v>
      </c>
      <c r="AZ24" s="3">
        <f t="shared" si="34"/>
        <v>2422.6983230024052</v>
      </c>
      <c r="BA24" s="72">
        <f t="shared" si="35"/>
        <v>0.17500000000000002</v>
      </c>
      <c r="BB24" s="19">
        <f t="shared" si="36"/>
        <v>2422.6983230024052</v>
      </c>
      <c r="BD24" s="71">
        <f t="shared" si="37"/>
        <v>0.31</v>
      </c>
      <c r="BE24" s="3">
        <f>BD24*BD$5</f>
        <v>5287.4855396966541</v>
      </c>
      <c r="BF24" s="72">
        <f t="shared" si="38"/>
        <v>0.31</v>
      </c>
      <c r="BG24" s="3">
        <f>BF24*BF$5</f>
        <v>4844.2465547817037</v>
      </c>
      <c r="BH24" s="72">
        <f t="shared" si="39"/>
        <v>0.31</v>
      </c>
      <c r="BI24" s="19">
        <f>BH24*BH$5</f>
        <v>4738.941732241482</v>
      </c>
      <c r="BK24" s="71"/>
      <c r="BL24" s="3"/>
      <c r="BM24" s="72"/>
      <c r="BN24" s="3"/>
      <c r="BO24" s="72"/>
      <c r="BP24" s="19"/>
    </row>
    <row r="25" spans="2:68" ht="28.5" customHeight="1">
      <c r="B25" s="11">
        <v>2.5</v>
      </c>
      <c r="C25" s="2" t="s">
        <v>56</v>
      </c>
      <c r="D25" s="2" t="s">
        <v>64</v>
      </c>
      <c r="E25" s="2" t="s">
        <v>26</v>
      </c>
      <c r="F25" s="2" t="s">
        <v>3</v>
      </c>
      <c r="G25" s="2" t="s">
        <v>70</v>
      </c>
      <c r="H25" s="12" t="s">
        <v>5</v>
      </c>
      <c r="J25" s="20">
        <v>0</v>
      </c>
      <c r="K25" s="30">
        <v>0</v>
      </c>
      <c r="L25" s="3">
        <v>0</v>
      </c>
      <c r="M25" s="3">
        <v>0</v>
      </c>
      <c r="N25" s="33">
        <f t="shared" si="25"/>
        <v>0</v>
      </c>
      <c r="P25" s="94"/>
      <c r="Q25" s="20">
        <v>0</v>
      </c>
      <c r="R25" s="3">
        <v>0</v>
      </c>
      <c r="S25" s="3">
        <v>0</v>
      </c>
      <c r="T25" s="3">
        <v>0</v>
      </c>
      <c r="U25" s="4" t="s">
        <v>47</v>
      </c>
      <c r="V25" s="19">
        <f t="shared" si="26"/>
        <v>0</v>
      </c>
      <c r="X25" s="94"/>
      <c r="Y25" s="20">
        <v>0</v>
      </c>
      <c r="Z25" s="3">
        <v>0</v>
      </c>
      <c r="AA25" s="3">
        <f t="shared" si="27"/>
        <v>0</v>
      </c>
      <c r="AB25" s="3">
        <v>0</v>
      </c>
      <c r="AC25" s="4" t="s">
        <v>47</v>
      </c>
      <c r="AD25" s="19">
        <f t="shared" si="28"/>
        <v>0</v>
      </c>
      <c r="AF25" s="94"/>
      <c r="AG25" s="20">
        <v>0</v>
      </c>
      <c r="AH25" s="3">
        <v>0</v>
      </c>
      <c r="AI25" s="3">
        <v>0</v>
      </c>
      <c r="AJ25" s="3">
        <v>0</v>
      </c>
      <c r="AK25" s="4" t="s">
        <v>47</v>
      </c>
      <c r="AL25" s="19">
        <f t="shared" si="29"/>
        <v>0</v>
      </c>
      <c r="AN25" s="94"/>
      <c r="AO25" s="20"/>
      <c r="AP25" s="3"/>
      <c r="AQ25" s="3"/>
      <c r="AR25" s="3"/>
      <c r="AS25" s="4"/>
      <c r="AT25" s="19">
        <f t="shared" si="30"/>
        <v>0</v>
      </c>
      <c r="AV25" s="94"/>
      <c r="AW25" s="20">
        <f t="shared" si="31"/>
        <v>0</v>
      </c>
      <c r="AX25" s="3">
        <f t="shared" si="32"/>
        <v>0</v>
      </c>
      <c r="AY25" s="3">
        <f t="shared" si="33"/>
        <v>0</v>
      </c>
      <c r="AZ25" s="3">
        <f t="shared" si="34"/>
        <v>0</v>
      </c>
      <c r="BA25" s="3">
        <f t="shared" si="35"/>
        <v>0</v>
      </c>
      <c r="BB25" s="19">
        <f t="shared" si="36"/>
        <v>0</v>
      </c>
      <c r="BD25" s="71">
        <f t="shared" si="37"/>
        <v>0</v>
      </c>
      <c r="BE25" s="3">
        <f>BD25*BD$5</f>
        <v>0</v>
      </c>
      <c r="BF25" s="72">
        <f t="shared" si="38"/>
        <v>0</v>
      </c>
      <c r="BG25" s="3">
        <f>BF25*BF$5</f>
        <v>0</v>
      </c>
      <c r="BH25" s="72">
        <f t="shared" si="39"/>
        <v>0</v>
      </c>
      <c r="BI25" s="19">
        <f>BH25*BH$5</f>
        <v>0</v>
      </c>
      <c r="BK25" s="71"/>
      <c r="BL25" s="3"/>
      <c r="BM25" s="72"/>
      <c r="BN25" s="3"/>
      <c r="BO25" s="72"/>
      <c r="BP25" s="19"/>
    </row>
    <row r="26" spans="2:68" ht="28.5" customHeight="1">
      <c r="B26" s="11">
        <v>2.6</v>
      </c>
      <c r="C26" s="2" t="s">
        <v>57</v>
      </c>
      <c r="D26" s="2" t="s">
        <v>65</v>
      </c>
      <c r="E26" s="2" t="s">
        <v>60</v>
      </c>
      <c r="F26" s="2" t="s">
        <v>3</v>
      </c>
      <c r="G26" s="2" t="s">
        <v>69</v>
      </c>
      <c r="H26" s="12" t="s">
        <v>4</v>
      </c>
      <c r="J26" s="18">
        <v>0.93924034742674667</v>
      </c>
      <c r="K26" s="30">
        <v>17488.690220565943</v>
      </c>
      <c r="L26" s="6">
        <f>(J26/K26)*M26</f>
        <v>1.0024203330805306</v>
      </c>
      <c r="M26" s="3">
        <v>18665.103904524516</v>
      </c>
      <c r="N26" s="33">
        <f t="shared" si="25"/>
        <v>1176.4136839585735</v>
      </c>
      <c r="P26" s="94"/>
      <c r="Q26" s="20">
        <v>0</v>
      </c>
      <c r="R26" s="6">
        <v>0.93924034742674667</v>
      </c>
      <c r="S26" s="3">
        <v>0</v>
      </c>
      <c r="T26" s="3">
        <v>17488.690220565943</v>
      </c>
      <c r="U26" s="7" t="s">
        <v>6</v>
      </c>
      <c r="V26" s="19">
        <f t="shared" si="26"/>
        <v>-1176.4136839585735</v>
      </c>
      <c r="X26" s="94"/>
      <c r="Y26" s="20">
        <v>0</v>
      </c>
      <c r="Z26" s="3">
        <v>0</v>
      </c>
      <c r="AA26" s="3">
        <f t="shared" si="27"/>
        <v>0</v>
      </c>
      <c r="AB26" s="3">
        <v>0</v>
      </c>
      <c r="AC26" s="7" t="s">
        <v>6</v>
      </c>
      <c r="AD26" s="19">
        <f t="shared" si="28"/>
        <v>-18665.103904524516</v>
      </c>
      <c r="AF26" s="94"/>
      <c r="AG26" s="18">
        <v>3.5999999999999997E-2</v>
      </c>
      <c r="AH26" s="6">
        <v>4.8000000000000001E-2</v>
      </c>
      <c r="AI26" s="3">
        <v>625.21740261218895</v>
      </c>
      <c r="AJ26" s="3">
        <v>833.62320348291905</v>
      </c>
      <c r="AK26" s="7" t="s">
        <v>6</v>
      </c>
      <c r="AL26" s="19">
        <f t="shared" si="29"/>
        <v>-17831.480701041597</v>
      </c>
      <c r="AN26" s="94"/>
      <c r="AO26" s="20"/>
      <c r="AP26" s="6"/>
      <c r="AQ26" s="3"/>
      <c r="AR26" s="3"/>
      <c r="AS26" s="7"/>
      <c r="AT26" s="19">
        <f t="shared" si="30"/>
        <v>-18665.103904524516</v>
      </c>
      <c r="AV26" s="94"/>
      <c r="AW26" s="20">
        <f t="shared" si="31"/>
        <v>0</v>
      </c>
      <c r="AX26" s="3">
        <f t="shared" si="32"/>
        <v>0</v>
      </c>
      <c r="AY26" s="3">
        <f t="shared" si="33"/>
        <v>0</v>
      </c>
      <c r="AZ26" s="3">
        <f t="shared" si="34"/>
        <v>0</v>
      </c>
      <c r="BA26" s="3">
        <f t="shared" si="35"/>
        <v>0</v>
      </c>
      <c r="BB26" s="19">
        <f t="shared" si="36"/>
        <v>0</v>
      </c>
      <c r="BD26" s="71">
        <f t="shared" si="37"/>
        <v>0</v>
      </c>
      <c r="BE26" s="3">
        <f>BD26*BD$5</f>
        <v>0</v>
      </c>
      <c r="BF26" s="72">
        <f t="shared" si="38"/>
        <v>0</v>
      </c>
      <c r="BG26" s="3">
        <f>BF26*BF$5</f>
        <v>0</v>
      </c>
      <c r="BH26" s="72">
        <f t="shared" si="39"/>
        <v>0</v>
      </c>
      <c r="BI26" s="19">
        <f>BH26*BH$5</f>
        <v>0</v>
      </c>
      <c r="BK26" s="71"/>
      <c r="BL26" s="3"/>
      <c r="BM26" s="72"/>
      <c r="BN26" s="3"/>
      <c r="BO26" s="72"/>
      <c r="BP26" s="19"/>
    </row>
    <row r="27" spans="2:68" ht="28.5" customHeight="1">
      <c r="B27" s="11">
        <v>2.7</v>
      </c>
      <c r="C27" s="2" t="s">
        <v>57</v>
      </c>
      <c r="D27" s="2" t="s">
        <v>66</v>
      </c>
      <c r="E27" s="2" t="s">
        <v>26</v>
      </c>
      <c r="F27" s="2" t="s">
        <v>3</v>
      </c>
      <c r="G27" s="2" t="s">
        <v>70</v>
      </c>
      <c r="H27" s="12" t="s">
        <v>5</v>
      </c>
      <c r="J27" s="20">
        <v>1000</v>
      </c>
      <c r="K27" s="30">
        <v>1475</v>
      </c>
      <c r="L27" s="3">
        <f>(J27/K27)*M27</f>
        <v>5353.8351839666102</v>
      </c>
      <c r="M27" s="3">
        <v>7896.9068963507498</v>
      </c>
      <c r="N27" s="33">
        <f t="shared" si="25"/>
        <v>6421.9068963507498</v>
      </c>
      <c r="P27" s="94"/>
      <c r="Q27" s="20">
        <v>270</v>
      </c>
      <c r="R27" s="3">
        <v>1000</v>
      </c>
      <c r="S27" s="3">
        <v>397.21941354903936</v>
      </c>
      <c r="T27" s="3">
        <v>1475</v>
      </c>
      <c r="U27" s="7" t="s">
        <v>6</v>
      </c>
      <c r="V27" s="19">
        <f t="shared" si="26"/>
        <v>-6421.9068963507498</v>
      </c>
      <c r="X27" s="94"/>
      <c r="Y27" s="99">
        <f>Q27+162</f>
        <v>432</v>
      </c>
      <c r="Z27" s="3">
        <v>700</v>
      </c>
      <c r="AA27" s="3">
        <f t="shared" si="27"/>
        <v>663.31941354903938</v>
      </c>
      <c r="AB27" s="3">
        <v>1074.9194135490393</v>
      </c>
      <c r="AC27" s="7" t="s">
        <v>6</v>
      </c>
      <c r="AD27" s="19">
        <f t="shared" si="28"/>
        <v>-6821.9874828017109</v>
      </c>
      <c r="AF27" s="94"/>
      <c r="AG27" s="20">
        <v>243</v>
      </c>
      <c r="AH27" s="3">
        <v>324</v>
      </c>
      <c r="AI27" s="3">
        <v>373.03399999999999</v>
      </c>
      <c r="AJ27" s="3">
        <v>497.37799999999999</v>
      </c>
      <c r="AK27" s="7" t="s">
        <v>6</v>
      </c>
      <c r="AL27" s="19">
        <f t="shared" si="29"/>
        <v>-7399.5288963507501</v>
      </c>
      <c r="AN27" s="94"/>
      <c r="AO27" s="20"/>
      <c r="AP27" s="3"/>
      <c r="AQ27" s="3"/>
      <c r="AR27" s="3"/>
      <c r="AS27" s="7"/>
      <c r="AT27" s="19">
        <f t="shared" si="30"/>
        <v>-7896.9068963507498</v>
      </c>
      <c r="AV27" s="94"/>
      <c r="AW27" s="20">
        <f t="shared" si="31"/>
        <v>90</v>
      </c>
      <c r="AX27" s="3">
        <f t="shared" si="32"/>
        <v>132.40647118301311</v>
      </c>
      <c r="AY27" s="3">
        <f t="shared" si="33"/>
        <v>90</v>
      </c>
      <c r="AZ27" s="3">
        <f t="shared" si="34"/>
        <v>132.40647118301311</v>
      </c>
      <c r="BA27" s="3">
        <f t="shared" si="35"/>
        <v>90</v>
      </c>
      <c r="BB27" s="19">
        <f t="shared" si="36"/>
        <v>132.40647118301311</v>
      </c>
      <c r="BD27" s="71">
        <f t="shared" si="37"/>
        <v>54</v>
      </c>
      <c r="BE27" s="3">
        <v>88.7</v>
      </c>
      <c r="BF27" s="72">
        <f t="shared" si="38"/>
        <v>54</v>
      </c>
      <c r="BG27" s="3">
        <v>88.7</v>
      </c>
      <c r="BH27" s="72">
        <f t="shared" si="39"/>
        <v>54</v>
      </c>
      <c r="BI27" s="19">
        <v>88.7</v>
      </c>
      <c r="BK27" s="71"/>
      <c r="BL27" s="3"/>
      <c r="BM27" s="72"/>
      <c r="BN27" s="3"/>
      <c r="BO27" s="72"/>
      <c r="BP27" s="19"/>
    </row>
    <row r="28" spans="2:68" ht="28.5" customHeight="1">
      <c r="B28" s="11">
        <v>2.8</v>
      </c>
      <c r="C28" s="2" t="s">
        <v>58</v>
      </c>
      <c r="D28" s="2" t="s">
        <v>67</v>
      </c>
      <c r="E28" s="2" t="s">
        <v>26</v>
      </c>
      <c r="F28" s="2" t="s">
        <v>3</v>
      </c>
      <c r="G28" s="2" t="s">
        <v>70</v>
      </c>
      <c r="H28" s="12" t="s">
        <v>5</v>
      </c>
      <c r="J28" s="20">
        <v>0</v>
      </c>
      <c r="K28" s="30">
        <v>0</v>
      </c>
      <c r="L28" s="36">
        <v>0</v>
      </c>
      <c r="M28" s="3">
        <v>0</v>
      </c>
      <c r="N28" s="33">
        <f t="shared" si="25"/>
        <v>0</v>
      </c>
      <c r="P28" s="94"/>
      <c r="Q28" s="21">
        <v>0</v>
      </c>
      <c r="R28" s="5">
        <v>0</v>
      </c>
      <c r="S28" s="5">
        <v>0</v>
      </c>
      <c r="T28" s="5">
        <v>0</v>
      </c>
      <c r="U28" s="4" t="s">
        <v>71</v>
      </c>
      <c r="V28" s="19">
        <f t="shared" si="26"/>
        <v>0</v>
      </c>
      <c r="X28" s="94"/>
      <c r="Y28" s="21">
        <v>0</v>
      </c>
      <c r="Z28" s="5">
        <v>0</v>
      </c>
      <c r="AA28" s="5">
        <f t="shared" ref="AA28:AA29" si="40">(AX28+AZ28+BB28+BE28+BG28+BI28)</f>
        <v>0</v>
      </c>
      <c r="AB28" s="5">
        <v>0</v>
      </c>
      <c r="AC28" s="4" t="s">
        <v>71</v>
      </c>
      <c r="AD28" s="19">
        <f t="shared" si="28"/>
        <v>0</v>
      </c>
      <c r="AF28" s="94"/>
      <c r="AG28" s="21">
        <v>0</v>
      </c>
      <c r="AH28" s="5">
        <v>0</v>
      </c>
      <c r="AI28" s="5">
        <v>0</v>
      </c>
      <c r="AJ28" s="5">
        <v>0</v>
      </c>
      <c r="AK28" s="4" t="s">
        <v>71</v>
      </c>
      <c r="AL28" s="19">
        <v>0</v>
      </c>
      <c r="AN28" s="94"/>
      <c r="AO28" s="21"/>
      <c r="AP28" s="5"/>
      <c r="AQ28" s="5"/>
      <c r="AR28" s="5"/>
      <c r="AS28" s="4"/>
      <c r="AT28" s="19">
        <f t="shared" si="30"/>
        <v>0</v>
      </c>
      <c r="AV28" s="94"/>
      <c r="AW28" s="20">
        <f t="shared" si="31"/>
        <v>0</v>
      </c>
      <c r="AX28" s="3">
        <f t="shared" si="32"/>
        <v>0</v>
      </c>
      <c r="AY28" s="3">
        <f t="shared" si="33"/>
        <v>0</v>
      </c>
      <c r="AZ28" s="3">
        <f t="shared" si="34"/>
        <v>0</v>
      </c>
      <c r="BA28" s="3">
        <f t="shared" si="35"/>
        <v>0</v>
      </c>
      <c r="BB28" s="19">
        <f t="shared" si="36"/>
        <v>0</v>
      </c>
      <c r="BD28" s="20">
        <f t="shared" ref="BD28:BD29" si="41">($Y28-$Q28)/3</f>
        <v>0</v>
      </c>
      <c r="BE28" s="3">
        <f t="shared" ref="BE28:BE29" si="42">BD28*BD$5</f>
        <v>0</v>
      </c>
      <c r="BF28" s="3">
        <f t="shared" ref="BF28:BF29" si="43">($Y28-$Q28)/3</f>
        <v>0</v>
      </c>
      <c r="BG28" s="3">
        <f t="shared" ref="BG28:BG29" si="44">BF28*BF$5</f>
        <v>0</v>
      </c>
      <c r="BH28" s="3">
        <f t="shared" ref="BH28:BH29" si="45">($Y28-$Q28)/3</f>
        <v>0</v>
      </c>
      <c r="BI28" s="19">
        <f t="shared" ref="BI28:BI29" si="46">BH28*BH$5</f>
        <v>0</v>
      </c>
      <c r="BK28" s="20"/>
      <c r="BL28" s="3"/>
      <c r="BM28" s="3"/>
      <c r="BN28" s="3"/>
      <c r="BO28" s="3"/>
      <c r="BP28" s="19"/>
    </row>
    <row r="29" spans="2:68" ht="28.5" customHeight="1" thickBot="1">
      <c r="B29" s="13">
        <v>2.9</v>
      </c>
      <c r="C29" s="14" t="s">
        <v>2</v>
      </c>
      <c r="D29" s="14" t="s">
        <v>68</v>
      </c>
      <c r="E29" s="14" t="s">
        <v>26</v>
      </c>
      <c r="F29" s="14" t="s">
        <v>3</v>
      </c>
      <c r="G29" s="14" t="s">
        <v>70</v>
      </c>
      <c r="H29" s="15" t="s">
        <v>5</v>
      </c>
      <c r="J29" s="22">
        <v>0</v>
      </c>
      <c r="K29" s="31">
        <v>0</v>
      </c>
      <c r="L29" s="27">
        <v>0</v>
      </c>
      <c r="M29" s="27">
        <v>0</v>
      </c>
      <c r="N29" s="35">
        <f t="shared" si="25"/>
        <v>0</v>
      </c>
      <c r="P29" s="94"/>
      <c r="Q29" s="22">
        <v>0</v>
      </c>
      <c r="R29" s="27">
        <v>0</v>
      </c>
      <c r="S29" s="27">
        <v>0</v>
      </c>
      <c r="T29" s="27">
        <v>0</v>
      </c>
      <c r="U29" s="38" t="s">
        <v>72</v>
      </c>
      <c r="V29" s="23">
        <f t="shared" si="26"/>
        <v>0</v>
      </c>
      <c r="X29" s="94"/>
      <c r="Y29" s="22">
        <v>0</v>
      </c>
      <c r="Z29" s="27">
        <v>0</v>
      </c>
      <c r="AA29" s="27">
        <f t="shared" si="40"/>
        <v>0</v>
      </c>
      <c r="AB29" s="27">
        <v>0</v>
      </c>
      <c r="AC29" s="38" t="s">
        <v>72</v>
      </c>
      <c r="AD29" s="23">
        <f t="shared" si="28"/>
        <v>0</v>
      </c>
      <c r="AF29" s="94"/>
      <c r="AG29" s="22">
        <v>0</v>
      </c>
      <c r="AH29" s="27">
        <v>0</v>
      </c>
      <c r="AI29" s="27">
        <v>0</v>
      </c>
      <c r="AJ29" s="27">
        <v>0</v>
      </c>
      <c r="AK29" s="38" t="s">
        <v>72</v>
      </c>
      <c r="AL29" s="23">
        <v>0</v>
      </c>
      <c r="AN29" s="94"/>
      <c r="AO29" s="22"/>
      <c r="AP29" s="27"/>
      <c r="AQ29" s="27"/>
      <c r="AR29" s="27"/>
      <c r="AS29" s="38"/>
      <c r="AT29" s="23">
        <f t="shared" si="30"/>
        <v>0</v>
      </c>
      <c r="AV29" s="94"/>
      <c r="AW29" s="22">
        <f t="shared" si="31"/>
        <v>0</v>
      </c>
      <c r="AX29" s="27">
        <f t="shared" si="32"/>
        <v>0</v>
      </c>
      <c r="AY29" s="27">
        <f t="shared" si="33"/>
        <v>0</v>
      </c>
      <c r="AZ29" s="27">
        <f t="shared" si="34"/>
        <v>0</v>
      </c>
      <c r="BA29" s="27">
        <f t="shared" si="35"/>
        <v>0</v>
      </c>
      <c r="BB29" s="23">
        <f t="shared" si="36"/>
        <v>0</v>
      </c>
      <c r="BD29" s="22">
        <f t="shared" si="41"/>
        <v>0</v>
      </c>
      <c r="BE29" s="27">
        <f t="shared" si="42"/>
        <v>0</v>
      </c>
      <c r="BF29" s="27">
        <f t="shared" si="43"/>
        <v>0</v>
      </c>
      <c r="BG29" s="27">
        <f t="shared" si="44"/>
        <v>0</v>
      </c>
      <c r="BH29" s="27">
        <f t="shared" si="45"/>
        <v>0</v>
      </c>
      <c r="BI29" s="23">
        <f t="shared" si="46"/>
        <v>0</v>
      </c>
      <c r="BK29" s="22"/>
      <c r="BL29" s="27"/>
      <c r="BM29" s="27"/>
      <c r="BN29" s="27"/>
      <c r="BO29" s="27"/>
      <c r="BP29" s="23"/>
    </row>
    <row r="30" spans="2:68" ht="18.75" customHeight="1" thickBot="1">
      <c r="P30" s="94"/>
      <c r="X30" s="94"/>
      <c r="AF30" s="94"/>
      <c r="AN30" s="94"/>
      <c r="AV30" s="94"/>
    </row>
    <row r="31" spans="2:68" ht="28.5" customHeight="1" thickBot="1">
      <c r="B31" s="61">
        <v>3</v>
      </c>
      <c r="C31" s="196" t="s">
        <v>7</v>
      </c>
      <c r="D31" s="196"/>
      <c r="E31" s="196"/>
      <c r="F31" s="196"/>
      <c r="G31" s="196"/>
      <c r="H31" s="197"/>
      <c r="J31" s="62" t="s">
        <v>6</v>
      </c>
      <c r="K31" s="63">
        <f>SUM(K32:K33)</f>
        <v>152326.01424533466</v>
      </c>
      <c r="L31" s="64" t="s">
        <v>6</v>
      </c>
      <c r="M31" s="65">
        <f t="shared" ref="M31:N31" si="47">SUM(M32:M33)</f>
        <v>162498.23818538158</v>
      </c>
      <c r="N31" s="66">
        <f t="shared" si="47"/>
        <v>10172.223940046912</v>
      </c>
      <c r="P31" s="94"/>
      <c r="Q31" s="62" t="s">
        <v>6</v>
      </c>
      <c r="R31" s="64" t="s">
        <v>6</v>
      </c>
      <c r="S31" s="65">
        <f>SUM(S32:S33)</f>
        <v>31315.638420450687</v>
      </c>
      <c r="T31" s="65">
        <f>SUM(T32:T33)</f>
        <v>152326.01424533466</v>
      </c>
      <c r="U31" s="65" t="s">
        <v>6</v>
      </c>
      <c r="V31" s="67">
        <f>SUM(V32:V33)</f>
        <v>-10172.223940046912</v>
      </c>
      <c r="X31" s="94"/>
      <c r="Y31" s="62" t="s">
        <v>6</v>
      </c>
      <c r="Z31" s="64" t="s">
        <v>6</v>
      </c>
      <c r="AA31" s="65">
        <f>SUM(AA32:AA33)</f>
        <v>71416.418765753479</v>
      </c>
      <c r="AB31" s="65">
        <f>SUM(AB32:AB33)</f>
        <v>163686.36740105742</v>
      </c>
      <c r="AC31" s="65" t="s">
        <v>6</v>
      </c>
      <c r="AD31" s="67">
        <f>SUM(AD32:AD33)</f>
        <v>1188.1292156758263</v>
      </c>
      <c r="AF31" s="94"/>
      <c r="AG31" s="62" t="s">
        <v>6</v>
      </c>
      <c r="AH31" s="64" t="s">
        <v>6</v>
      </c>
      <c r="AI31" s="65">
        <f>SUM(AI32:AI33)</f>
        <v>98125.403867937348</v>
      </c>
      <c r="AJ31" s="65">
        <f>SUM(AJ32:AJ33)</f>
        <v>162988.26699999999</v>
      </c>
      <c r="AK31" s="65" t="s">
        <v>6</v>
      </c>
      <c r="AL31" s="67">
        <f>SUM(AL32:AL33)</f>
        <v>490.0288146184073</v>
      </c>
      <c r="AN31" s="94"/>
      <c r="AO31" s="62" t="s">
        <v>6</v>
      </c>
      <c r="AP31" s="64" t="s">
        <v>6</v>
      </c>
      <c r="AQ31" s="65">
        <f>SUM(AQ32:AQ33)</f>
        <v>0</v>
      </c>
      <c r="AR31" s="65">
        <f>SUM(AR32:AR33)</f>
        <v>0</v>
      </c>
      <c r="AS31" s="65" t="s">
        <v>6</v>
      </c>
      <c r="AT31" s="67">
        <f>SUM(AT32:AT33)</f>
        <v>-162498.23818538158</v>
      </c>
      <c r="AV31" s="94"/>
      <c r="AW31" s="83" t="s">
        <v>6</v>
      </c>
      <c r="AX31" s="84">
        <f>SUM(AX32:AX33)</f>
        <v>10438.546140150229</v>
      </c>
      <c r="AY31" s="84" t="s">
        <v>6</v>
      </c>
      <c r="AZ31" s="84">
        <f>SUM(AZ32:AZ33)</f>
        <v>10438.546140150229</v>
      </c>
      <c r="BA31" s="84" t="s">
        <v>6</v>
      </c>
      <c r="BB31" s="82">
        <f t="shared" ref="BB31" si="48">SUM(BB32:BB33)</f>
        <v>10438.546140150229</v>
      </c>
      <c r="BD31" s="83" t="s">
        <v>6</v>
      </c>
      <c r="BE31" s="84">
        <f>SUM(BE32:BE33)</f>
        <v>14246.734097579805</v>
      </c>
      <c r="BF31" s="84" t="s">
        <v>6</v>
      </c>
      <c r="BG31" s="84">
        <f>SUM(BG32:BG33)</f>
        <v>13067.146476435182</v>
      </c>
      <c r="BH31" s="84" t="s">
        <v>6</v>
      </c>
      <c r="BI31" s="82">
        <f t="shared" ref="BI31" si="49">SUM(BI32:BI33)</f>
        <v>12786.899771287815</v>
      </c>
      <c r="BK31" s="83" t="s">
        <v>6</v>
      </c>
      <c r="BL31" s="84">
        <f>SUM(BL32:BL33)</f>
        <v>0</v>
      </c>
      <c r="BM31" s="84" t="s">
        <v>6</v>
      </c>
      <c r="BN31" s="84">
        <f>SUM(BN32:BN33)</f>
        <v>0</v>
      </c>
      <c r="BO31" s="84" t="s">
        <v>6</v>
      </c>
      <c r="BP31" s="82">
        <f t="shared" ref="BP31" si="50">SUM(BP32:BP33)</f>
        <v>0</v>
      </c>
    </row>
    <row r="32" spans="2:68" ht="28.5" customHeight="1">
      <c r="B32" s="8">
        <v>3.1</v>
      </c>
      <c r="C32" s="9" t="s">
        <v>8</v>
      </c>
      <c r="D32" s="9" t="s">
        <v>77</v>
      </c>
      <c r="E32" s="9" t="s">
        <v>60</v>
      </c>
      <c r="F32" s="9" t="s">
        <v>3</v>
      </c>
      <c r="G32" s="9" t="s">
        <v>74</v>
      </c>
      <c r="H32" s="10" t="s">
        <v>4</v>
      </c>
      <c r="J32" s="39">
        <v>8.1214314979769888</v>
      </c>
      <c r="K32" s="29">
        <v>151221.3567110881</v>
      </c>
      <c r="L32" s="24">
        <f>(J32/K32)*M32</f>
        <v>8.6677367402253225</v>
      </c>
      <c r="M32" s="25">
        <v>161393.58065113501</v>
      </c>
      <c r="N32" s="32">
        <f>M32-K32</f>
        <v>10172.223940046912</v>
      </c>
      <c r="P32" s="94"/>
      <c r="Q32" s="16">
        <v>2.0150000000000001</v>
      </c>
      <c r="R32" s="24">
        <v>8.1214314979769888</v>
      </c>
      <c r="S32" s="25">
        <v>31229.338420450687</v>
      </c>
      <c r="T32" s="25">
        <v>151221.3567110881</v>
      </c>
      <c r="U32" s="26" t="s">
        <v>6</v>
      </c>
      <c r="V32" s="17">
        <f>T32-$M32</f>
        <v>-10172.223940046912</v>
      </c>
      <c r="X32" s="94"/>
      <c r="Y32" s="16">
        <v>4.49</v>
      </c>
      <c r="Z32" s="24">
        <v>9.44</v>
      </c>
      <c r="AA32" s="25">
        <f>(AX32+AZ32+BB32+BE32+BG32+BI32)</f>
        <v>70804.518765753484</v>
      </c>
      <c r="AB32" s="25">
        <v>162293.26740105741</v>
      </c>
      <c r="AC32" s="26" t="s">
        <v>6</v>
      </c>
      <c r="AD32" s="17">
        <f>AB32-$M32</f>
        <v>899.68674992240267</v>
      </c>
      <c r="AF32" s="94"/>
      <c r="AG32" s="16">
        <v>5.3500970133000001</v>
      </c>
      <c r="AH32" s="24">
        <v>9.7705636799666706</v>
      </c>
      <c r="AI32" s="25">
        <v>97079.403867937348</v>
      </c>
      <c r="AJ32" s="25">
        <v>161593.26699999999</v>
      </c>
      <c r="AK32" s="26" t="s">
        <v>6</v>
      </c>
      <c r="AL32" s="17">
        <f>AJ32-$M32</f>
        <v>199.6863488649833</v>
      </c>
      <c r="AN32" s="94"/>
      <c r="AO32" s="16"/>
      <c r="AP32" s="24"/>
      <c r="AQ32" s="25"/>
      <c r="AR32" s="25"/>
      <c r="AS32" s="26"/>
      <c r="AT32" s="17">
        <f>AR32-$M32</f>
        <v>-161393.58065113501</v>
      </c>
      <c r="AV32" s="94"/>
      <c r="AW32" s="16">
        <f t="shared" ref="AW32:AW33" si="51">$Q32/3</f>
        <v>0.67166666666666675</v>
      </c>
      <c r="AX32" s="25">
        <f t="shared" ref="AX32:AX33" si="52">$S32/3</f>
        <v>10409.779473483562</v>
      </c>
      <c r="AY32" s="24">
        <f t="shared" ref="AY32:AY33" si="53">$Q32/3</f>
        <v>0.67166666666666675</v>
      </c>
      <c r="AZ32" s="25">
        <f t="shared" ref="AZ32:AZ33" si="54">$S32/3</f>
        <v>10409.779473483562</v>
      </c>
      <c r="BA32" s="24">
        <f t="shared" ref="BA32:BA33" si="55">$Q32/3</f>
        <v>0.67166666666666675</v>
      </c>
      <c r="BB32" s="17">
        <f t="shared" ref="BB32:BB33" si="56">$S32/3</f>
        <v>10409.779473483562</v>
      </c>
      <c r="BD32" s="16">
        <f>($Y32-$Q32)/3</f>
        <v>0.82500000000000007</v>
      </c>
      <c r="BE32" s="25">
        <f>BD32*BD$5</f>
        <v>14071.534097579804</v>
      </c>
      <c r="BF32" s="24">
        <f>($Y32-$Q32)/3</f>
        <v>0.82500000000000007</v>
      </c>
      <c r="BG32" s="25">
        <f>BF32*BF$5</f>
        <v>12891.946476435181</v>
      </c>
      <c r="BH32" s="24">
        <f>($Y32-$Q32)/3</f>
        <v>0.82500000000000007</v>
      </c>
      <c r="BI32" s="17">
        <f>BH32*BH$5</f>
        <v>12611.699771287815</v>
      </c>
      <c r="BK32" s="16"/>
      <c r="BL32" s="25"/>
      <c r="BM32" s="24"/>
      <c r="BN32" s="25"/>
      <c r="BO32" s="24"/>
      <c r="BP32" s="17"/>
    </row>
    <row r="33" spans="2:68" ht="28.5" customHeight="1" thickBot="1">
      <c r="B33" s="13">
        <v>3.2</v>
      </c>
      <c r="C33" s="14" t="s">
        <v>8</v>
      </c>
      <c r="D33" s="14" t="s">
        <v>9</v>
      </c>
      <c r="E33" s="14" t="s">
        <v>73</v>
      </c>
      <c r="F33" s="14" t="s">
        <v>3</v>
      </c>
      <c r="G33" s="14" t="s">
        <v>74</v>
      </c>
      <c r="H33" s="15" t="s">
        <v>5</v>
      </c>
      <c r="J33" s="22">
        <v>751.46771037182043</v>
      </c>
      <c r="K33" s="31">
        <v>1104.657534246576</v>
      </c>
      <c r="L33" s="27">
        <f>(J33/K33)*M33</f>
        <v>751.46771037182043</v>
      </c>
      <c r="M33" s="27">
        <v>1104.657534246576</v>
      </c>
      <c r="N33" s="35">
        <f>M33-K33</f>
        <v>0</v>
      </c>
      <c r="P33" s="94"/>
      <c r="Q33" s="22">
        <v>120</v>
      </c>
      <c r="R33" s="27">
        <v>751.46771037182043</v>
      </c>
      <c r="S33" s="27">
        <v>86.3</v>
      </c>
      <c r="T33" s="27">
        <v>1104.657534246576</v>
      </c>
      <c r="U33" s="28" t="s">
        <v>6</v>
      </c>
      <c r="V33" s="23">
        <f>T33-$M33</f>
        <v>0</v>
      </c>
      <c r="X33" s="94"/>
      <c r="Y33" s="22">
        <v>330</v>
      </c>
      <c r="Z33" s="27">
        <v>751</v>
      </c>
      <c r="AA33" s="27">
        <f>(AX33+AZ33+BB33+BE33+BG33+BI33)</f>
        <v>611.9</v>
      </c>
      <c r="AB33" s="27">
        <v>1393.0999999999997</v>
      </c>
      <c r="AC33" s="28" t="s">
        <v>6</v>
      </c>
      <c r="AD33" s="23">
        <f>AB33-$M33</f>
        <v>288.44246575342368</v>
      </c>
      <c r="AF33" s="94"/>
      <c r="AG33" s="22">
        <v>564</v>
      </c>
      <c r="AH33" s="27">
        <v>752</v>
      </c>
      <c r="AI33" s="27">
        <v>1046</v>
      </c>
      <c r="AJ33" s="27">
        <v>1395</v>
      </c>
      <c r="AK33" s="28" t="s">
        <v>6</v>
      </c>
      <c r="AL33" s="23">
        <f>AJ33-$M33</f>
        <v>290.34246575342399</v>
      </c>
      <c r="AN33" s="94"/>
      <c r="AO33" s="22"/>
      <c r="AP33" s="27"/>
      <c r="AQ33" s="27"/>
      <c r="AR33" s="27"/>
      <c r="AS33" s="28"/>
      <c r="AT33" s="23">
        <f>AR33-$M33</f>
        <v>-1104.657534246576</v>
      </c>
      <c r="AV33" s="94"/>
      <c r="AW33" s="22">
        <f t="shared" si="51"/>
        <v>40</v>
      </c>
      <c r="AX33" s="27">
        <f t="shared" si="52"/>
        <v>28.766666666666666</v>
      </c>
      <c r="AY33" s="27">
        <f t="shared" si="53"/>
        <v>40</v>
      </c>
      <c r="AZ33" s="27">
        <f t="shared" si="54"/>
        <v>28.766666666666666</v>
      </c>
      <c r="BA33" s="27">
        <f t="shared" si="55"/>
        <v>40</v>
      </c>
      <c r="BB33" s="23">
        <f t="shared" si="56"/>
        <v>28.766666666666666</v>
      </c>
      <c r="BD33" s="22">
        <f>($Y33-$Q33)/3</f>
        <v>70</v>
      </c>
      <c r="BE33" s="27">
        <v>175.2</v>
      </c>
      <c r="BF33" s="27">
        <f>($Y33-$Q33)/3</f>
        <v>70</v>
      </c>
      <c r="BG33" s="27">
        <v>175.2</v>
      </c>
      <c r="BH33" s="27">
        <f>($Y33-$Q33)/3</f>
        <v>70</v>
      </c>
      <c r="BI33" s="23">
        <v>175.2</v>
      </c>
      <c r="BK33" s="22"/>
      <c r="BL33" s="27"/>
      <c r="BM33" s="27"/>
      <c r="BN33" s="27"/>
      <c r="BO33" s="27"/>
      <c r="BP33" s="23"/>
    </row>
    <row r="34" spans="2:68" ht="15" thickBot="1">
      <c r="P34" s="94"/>
      <c r="X34" s="94"/>
      <c r="AF34" s="94"/>
      <c r="AN34" s="94"/>
      <c r="AV34" s="94"/>
    </row>
    <row r="35" spans="2:68" ht="28.5" customHeight="1" thickBot="1">
      <c r="B35" s="54"/>
      <c r="C35" s="198"/>
      <c r="D35" s="198"/>
      <c r="E35" s="198"/>
      <c r="F35" s="198"/>
      <c r="G35" s="198"/>
      <c r="H35" s="199"/>
      <c r="J35" s="55" t="s">
        <v>6</v>
      </c>
      <c r="K35" s="56">
        <f>K8+K20+K31</f>
        <v>314525.7505776714</v>
      </c>
      <c r="L35" s="57" t="s">
        <v>6</v>
      </c>
      <c r="M35" s="58">
        <f>M8+M20+M31</f>
        <v>352380.92056412937</v>
      </c>
      <c r="N35" s="59">
        <f>N8+N20+N31</f>
        <v>37855.169986457993</v>
      </c>
      <c r="P35" s="94"/>
      <c r="Q35" s="55" t="s">
        <v>6</v>
      </c>
      <c r="R35" s="57" t="s">
        <v>6</v>
      </c>
      <c r="S35" s="58">
        <f>S8+S20+S31</f>
        <v>43200.926826236057</v>
      </c>
      <c r="T35" s="58">
        <f>T8+T20+T31</f>
        <v>274710.07590271637</v>
      </c>
      <c r="U35" s="58" t="s">
        <v>6</v>
      </c>
      <c r="V35" s="60">
        <f>V8+V20+V31</f>
        <v>-77670.844661413023</v>
      </c>
      <c r="X35" s="94"/>
      <c r="Y35" s="55" t="s">
        <v>6</v>
      </c>
      <c r="Z35" s="57" t="s">
        <v>6</v>
      </c>
      <c r="AA35" s="58">
        <f>AA8+AA20+AA31</f>
        <v>117851.85920123305</v>
      </c>
      <c r="AB35" s="58">
        <f>AB8+AB20+AB31</f>
        <v>300509.19193769887</v>
      </c>
      <c r="AC35" s="58" t="s">
        <v>6</v>
      </c>
      <c r="AD35" s="60">
        <f>AD8+AD20+AD31</f>
        <v>-51871.728626430508</v>
      </c>
      <c r="AF35" s="94"/>
      <c r="AG35" s="55" t="s">
        <v>6</v>
      </c>
      <c r="AH35" s="57" t="s">
        <v>6</v>
      </c>
      <c r="AI35" s="58">
        <f>AI8+AI20+AI31</f>
        <v>189226.95402148581</v>
      </c>
      <c r="AJ35" s="58">
        <f>AJ8+AJ20+AJ31</f>
        <v>293047.67916249612</v>
      </c>
      <c r="AK35" s="58" t="s">
        <v>6</v>
      </c>
      <c r="AL35" s="60">
        <f>AL8+AL20+AL31</f>
        <v>-59333.24140163327</v>
      </c>
      <c r="AN35" s="94"/>
      <c r="AO35" s="55" t="s">
        <v>6</v>
      </c>
      <c r="AP35" s="57" t="s">
        <v>6</v>
      </c>
      <c r="AQ35" s="58">
        <f>AQ8+AQ20+AQ31</f>
        <v>0</v>
      </c>
      <c r="AR35" s="58">
        <f>AR8+AR20+AR31</f>
        <v>0</v>
      </c>
      <c r="AS35" s="58" t="s">
        <v>6</v>
      </c>
      <c r="AT35" s="60">
        <f>AT8+AT20+AT31</f>
        <v>-352380.92056412937</v>
      </c>
      <c r="AV35" s="94"/>
      <c r="AW35" s="68" t="s">
        <v>6</v>
      </c>
      <c r="AX35" s="76">
        <f>AX8+AX20+AX31</f>
        <v>14400.308942078686</v>
      </c>
      <c r="AY35" s="69" t="s">
        <v>6</v>
      </c>
      <c r="AZ35" s="76">
        <f>AZ8+AZ20+AZ31</f>
        <v>14400.308942078686</v>
      </c>
      <c r="BA35" s="69" t="s">
        <v>6</v>
      </c>
      <c r="BB35" s="77">
        <f>BB8+BB20+BB31</f>
        <v>14400.308942078686</v>
      </c>
      <c r="BD35" s="68" t="s">
        <v>6</v>
      </c>
      <c r="BE35" s="76">
        <f>BE8+BE20+BE31</f>
        <v>26452.367229919917</v>
      </c>
      <c r="BF35" s="69" t="s">
        <v>6</v>
      </c>
      <c r="BG35" s="76">
        <f>BG8+BG20+BG31</f>
        <v>24349.126756339625</v>
      </c>
      <c r="BH35" s="69" t="s">
        <v>6</v>
      </c>
      <c r="BI35" s="77">
        <f>BI8+BI20+BI31</f>
        <v>23849.438388737472</v>
      </c>
      <c r="BK35" s="68" t="s">
        <v>6</v>
      </c>
      <c r="BL35" s="76">
        <f>BL8+BL20+BL31</f>
        <v>0</v>
      </c>
      <c r="BM35" s="69" t="s">
        <v>6</v>
      </c>
      <c r="BN35" s="76">
        <f>BN8+BN20+BN31</f>
        <v>0</v>
      </c>
      <c r="BO35" s="69" t="s">
        <v>6</v>
      </c>
      <c r="BP35" s="77">
        <f>BP8+BP20+BP31</f>
        <v>0</v>
      </c>
    </row>
    <row r="36" spans="2:68" ht="15" thickBot="1">
      <c r="O36" s="95"/>
      <c r="P36" s="96"/>
      <c r="W36" s="95"/>
      <c r="X36" s="96"/>
      <c r="AE36" s="95"/>
      <c r="AF36" s="96"/>
      <c r="AM36" s="95"/>
      <c r="AN36" s="96"/>
      <c r="AU36" s="95"/>
      <c r="AV36" s="96"/>
    </row>
    <row r="37" spans="2:68" ht="15" thickTop="1"/>
  </sheetData>
  <mergeCells count="80">
    <mergeCell ref="C20:H20"/>
    <mergeCell ref="C31:H31"/>
    <mergeCell ref="C35:H35"/>
    <mergeCell ref="Y2:AD2"/>
    <mergeCell ref="Y3:Z3"/>
    <mergeCell ref="AA3:AB3"/>
    <mergeCell ref="AC3:AC6"/>
    <mergeCell ref="AD3:AD6"/>
    <mergeCell ref="Y4:Y6"/>
    <mergeCell ref="Z4:Z6"/>
    <mergeCell ref="AA4:AA6"/>
    <mergeCell ref="AB4:AB6"/>
    <mergeCell ref="L2:M2"/>
    <mergeCell ref="V3:V6"/>
    <mergeCell ref="Q3:R3"/>
    <mergeCell ref="S3:T3"/>
    <mergeCell ref="C8:H8"/>
    <mergeCell ref="B3:B6"/>
    <mergeCell ref="H3:H6"/>
    <mergeCell ref="G3:G6"/>
    <mergeCell ref="F3:F6"/>
    <mergeCell ref="E3:E6"/>
    <mergeCell ref="D3:D6"/>
    <mergeCell ref="C3:C6"/>
    <mergeCell ref="BK3:BL3"/>
    <mergeCell ref="BM3:BN3"/>
    <mergeCell ref="BK2:BP2"/>
    <mergeCell ref="BO3:BP3"/>
    <mergeCell ref="BD3:BE3"/>
    <mergeCell ref="BF3:BG3"/>
    <mergeCell ref="BH3:BI3"/>
    <mergeCell ref="AW2:BB2"/>
    <mergeCell ref="BD2:BI2"/>
    <mergeCell ref="L4:L6"/>
    <mergeCell ref="K4:K6"/>
    <mergeCell ref="J4:J6"/>
    <mergeCell ref="T4:T6"/>
    <mergeCell ref="S4:S6"/>
    <mergeCell ref="R4:R6"/>
    <mergeCell ref="Q4:Q6"/>
    <mergeCell ref="M4:M6"/>
    <mergeCell ref="J3:K3"/>
    <mergeCell ref="L3:M3"/>
    <mergeCell ref="N3:N6"/>
    <mergeCell ref="U3:U6"/>
    <mergeCell ref="Q2:V2"/>
    <mergeCell ref="J2:K2"/>
    <mergeCell ref="BH5:BI5"/>
    <mergeCell ref="AW3:AX3"/>
    <mergeCell ref="AY3:AZ3"/>
    <mergeCell ref="BA3:BB3"/>
    <mergeCell ref="AW4:BB4"/>
    <mergeCell ref="AW5:AX5"/>
    <mergeCell ref="AY5:AZ5"/>
    <mergeCell ref="BA5:BB5"/>
    <mergeCell ref="AG2:AL2"/>
    <mergeCell ref="AG3:AH3"/>
    <mergeCell ref="AI3:AJ3"/>
    <mergeCell ref="AK3:AK6"/>
    <mergeCell ref="AL3:AL6"/>
    <mergeCell ref="AG4:AG6"/>
    <mergeCell ref="AH4:AH6"/>
    <mergeCell ref="AI4:AI6"/>
    <mergeCell ref="AJ4:AJ6"/>
    <mergeCell ref="BK4:BP4"/>
    <mergeCell ref="BK5:BL5"/>
    <mergeCell ref="BM5:BN5"/>
    <mergeCell ref="BO5:BP5"/>
    <mergeCell ref="AO2:AT2"/>
    <mergeCell ref="AO3:AP3"/>
    <mergeCell ref="AQ3:AR3"/>
    <mergeCell ref="AS3:AS6"/>
    <mergeCell ref="AT3:AT6"/>
    <mergeCell ref="AO4:AO6"/>
    <mergeCell ref="AP4:AP6"/>
    <mergeCell ref="AQ4:AQ6"/>
    <mergeCell ref="AR4:AR6"/>
    <mergeCell ref="BD4:BI4"/>
    <mergeCell ref="BD5:BE5"/>
    <mergeCell ref="BF5:BG5"/>
  </mergeCells>
  <conditionalFormatting sqref="J8:N18 Q8:V18">
    <cfRule type="cellIs" dxfId="47" priority="279" operator="equal">
      <formula>0</formula>
    </cfRule>
  </conditionalFormatting>
  <conditionalFormatting sqref="J20:N29 Q20:V29">
    <cfRule type="cellIs" dxfId="46" priority="276" operator="equal">
      <formula>0</formula>
    </cfRule>
  </conditionalFormatting>
  <conditionalFormatting sqref="J31:N33 Q31:V33">
    <cfRule type="cellIs" dxfId="45" priority="272" operator="equal">
      <formula>0</formula>
    </cfRule>
  </conditionalFormatting>
  <conditionalFormatting sqref="J35:N35 Q35:V35">
    <cfRule type="cellIs" dxfId="44" priority="267" operator="equal">
      <formula>0</formula>
    </cfRule>
  </conditionalFormatting>
  <conditionalFormatting sqref="V8">
    <cfRule type="cellIs" dxfId="43" priority="278" operator="lessThan">
      <formula>0</formula>
    </cfRule>
  </conditionalFormatting>
  <conditionalFormatting sqref="V20">
    <cfRule type="cellIs" dxfId="42" priority="275" operator="lessThan">
      <formula>0</formula>
    </cfRule>
  </conditionalFormatting>
  <conditionalFormatting sqref="V31">
    <cfRule type="cellIs" dxfId="41" priority="271" operator="lessThan">
      <formula>0</formula>
    </cfRule>
  </conditionalFormatting>
  <conditionalFormatting sqref="V35">
    <cfRule type="cellIs" dxfId="40" priority="266" operator="lessThan">
      <formula>0</formula>
    </cfRule>
  </conditionalFormatting>
  <conditionalFormatting sqref="Y8:AD18">
    <cfRule type="cellIs" dxfId="39" priority="104" operator="equal">
      <formula>0</formula>
    </cfRule>
  </conditionalFormatting>
  <conditionalFormatting sqref="Y20:AD29">
    <cfRule type="cellIs" dxfId="38" priority="102" operator="equal">
      <formula>0</formula>
    </cfRule>
  </conditionalFormatting>
  <conditionalFormatting sqref="Y31:AD33">
    <cfRule type="cellIs" dxfId="37" priority="100" operator="equal">
      <formula>0</formula>
    </cfRule>
  </conditionalFormatting>
  <conditionalFormatting sqref="Y35:AD35">
    <cfRule type="cellIs" dxfId="36" priority="98" operator="equal">
      <formula>0</formula>
    </cfRule>
  </conditionalFormatting>
  <conditionalFormatting sqref="AD8">
    <cfRule type="cellIs" dxfId="35" priority="103" operator="lessThan">
      <formula>0</formula>
    </cfRule>
  </conditionalFormatting>
  <conditionalFormatting sqref="AD20">
    <cfRule type="cellIs" dxfId="34" priority="101" operator="lessThan">
      <formula>0</formula>
    </cfRule>
  </conditionalFormatting>
  <conditionalFormatting sqref="AD31">
    <cfRule type="cellIs" dxfId="33" priority="99" operator="lessThan">
      <formula>0</formula>
    </cfRule>
  </conditionalFormatting>
  <conditionalFormatting sqref="AD35">
    <cfRule type="cellIs" dxfId="32" priority="97" operator="lessThan">
      <formula>0</formula>
    </cfRule>
  </conditionalFormatting>
  <conditionalFormatting sqref="AG8:AL18">
    <cfRule type="cellIs" dxfId="31" priority="55" operator="equal">
      <formula>0</formula>
    </cfRule>
  </conditionalFormatting>
  <conditionalFormatting sqref="AG20:AL29">
    <cfRule type="cellIs" dxfId="30" priority="53" operator="equal">
      <formula>0</formula>
    </cfRule>
  </conditionalFormatting>
  <conditionalFormatting sqref="AG31:AL33">
    <cfRule type="cellIs" dxfId="29" priority="51" operator="equal">
      <formula>0</formula>
    </cfRule>
  </conditionalFormatting>
  <conditionalFormatting sqref="AG35:AL35">
    <cfRule type="cellIs" dxfId="28" priority="49" operator="equal">
      <formula>0</formula>
    </cfRule>
  </conditionalFormatting>
  <conditionalFormatting sqref="AL8">
    <cfRule type="cellIs" dxfId="27" priority="54" operator="lessThan">
      <formula>0</formula>
    </cfRule>
  </conditionalFormatting>
  <conditionalFormatting sqref="AL20">
    <cfRule type="cellIs" dxfId="26" priority="52" operator="lessThan">
      <formula>0</formula>
    </cfRule>
  </conditionalFormatting>
  <conditionalFormatting sqref="AL31">
    <cfRule type="cellIs" dxfId="25" priority="50" operator="lessThan">
      <formula>0</formula>
    </cfRule>
  </conditionalFormatting>
  <conditionalFormatting sqref="AL35">
    <cfRule type="cellIs" dxfId="24" priority="48" operator="lessThan">
      <formula>0</formula>
    </cfRule>
  </conditionalFormatting>
  <conditionalFormatting sqref="AO8:AT18">
    <cfRule type="cellIs" dxfId="23" priority="46" operator="equal">
      <formula>0</formula>
    </cfRule>
  </conditionalFormatting>
  <conditionalFormatting sqref="AO20:AT29">
    <cfRule type="cellIs" dxfId="22" priority="44" operator="equal">
      <formula>0</formula>
    </cfRule>
  </conditionalFormatting>
  <conditionalFormatting sqref="AO31:AT33">
    <cfRule type="cellIs" dxfId="21" priority="42" operator="equal">
      <formula>0</formula>
    </cfRule>
  </conditionalFormatting>
  <conditionalFormatting sqref="AO35:AT35">
    <cfRule type="cellIs" dxfId="20" priority="40" operator="equal">
      <formula>0</formula>
    </cfRule>
  </conditionalFormatting>
  <conditionalFormatting sqref="AT8">
    <cfRule type="cellIs" dxfId="19" priority="45" operator="lessThan">
      <formula>0</formula>
    </cfRule>
  </conditionalFormatting>
  <conditionalFormatting sqref="AT20">
    <cfRule type="cellIs" dxfId="18" priority="43" operator="lessThan">
      <formula>0</formula>
    </cfRule>
  </conditionalFormatting>
  <conditionalFormatting sqref="AT31">
    <cfRule type="cellIs" dxfId="17" priority="41" operator="lessThan">
      <formula>0</formula>
    </cfRule>
  </conditionalFormatting>
  <conditionalFormatting sqref="AT35">
    <cfRule type="cellIs" dxfId="16" priority="39" operator="lessThan">
      <formula>0</formula>
    </cfRule>
  </conditionalFormatting>
  <conditionalFormatting sqref="AW8:BB18">
    <cfRule type="cellIs" dxfId="15" priority="59" operator="equal">
      <formula>0</formula>
    </cfRule>
  </conditionalFormatting>
  <conditionalFormatting sqref="AW20:BB29">
    <cfRule type="cellIs" dxfId="14" priority="67" operator="equal">
      <formula>0</formula>
    </cfRule>
  </conditionalFormatting>
  <conditionalFormatting sqref="AW31:BB33">
    <cfRule type="cellIs" dxfId="13" priority="63" operator="equal">
      <formula>0</formula>
    </cfRule>
  </conditionalFormatting>
  <conditionalFormatting sqref="AW35:BB35">
    <cfRule type="cellIs" dxfId="12" priority="57" operator="equal">
      <formula>0</formula>
    </cfRule>
  </conditionalFormatting>
  <conditionalFormatting sqref="BD8:BI18">
    <cfRule type="cellIs" dxfId="11" priority="38" operator="equal">
      <formula>0</formula>
    </cfRule>
  </conditionalFormatting>
  <conditionalFormatting sqref="BD20:BI29">
    <cfRule type="cellIs" dxfId="10" priority="30" operator="equal">
      <formula>0</formula>
    </cfRule>
  </conditionalFormatting>
  <conditionalFormatting sqref="BD31:BI33">
    <cfRule type="cellIs" dxfId="9" priority="83" operator="equal">
      <formula>0</formula>
    </cfRule>
  </conditionalFormatting>
  <conditionalFormatting sqref="BD35:BI35">
    <cfRule type="cellIs" dxfId="8" priority="77" operator="equal">
      <formula>0</formula>
    </cfRule>
  </conditionalFormatting>
  <conditionalFormatting sqref="BK8:BP18">
    <cfRule type="cellIs" dxfId="7" priority="9" operator="equal">
      <formula>0</formula>
    </cfRule>
  </conditionalFormatting>
  <conditionalFormatting sqref="BK20:BP29">
    <cfRule type="cellIs" dxfId="6" priority="1" operator="equal">
      <formula>0</formula>
    </cfRule>
  </conditionalFormatting>
  <conditionalFormatting sqref="BK31:BP33">
    <cfRule type="cellIs" dxfId="5" priority="16" operator="equal">
      <formula>0</formula>
    </cfRule>
  </conditionalFormatting>
  <conditionalFormatting sqref="BK35:BP35">
    <cfRule type="cellIs" dxfId="4" priority="10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8"/>
  <sheetViews>
    <sheetView tabSelected="1" zoomScale="85" zoomScaleNormal="85" workbookViewId="0">
      <selection activeCell="C16" sqref="C16:H16"/>
    </sheetView>
  </sheetViews>
  <sheetFormatPr defaultColWidth="9.140625" defaultRowHeight="14.25"/>
  <cols>
    <col min="1" max="1" width="2.7109375" style="1" customWidth="1"/>
    <col min="2" max="2" width="5.85546875" style="1" customWidth="1"/>
    <col min="3" max="3" width="33.42578125" style="1" customWidth="1"/>
    <col min="4" max="4" width="57.85546875" style="1" customWidth="1"/>
    <col min="5" max="5" width="29.140625" style="1" customWidth="1"/>
    <col min="6" max="8" width="14.42578125" style="1" customWidth="1"/>
    <col min="9" max="9" width="1.7109375" style="1" customWidth="1"/>
    <col min="10" max="12" width="13.140625" style="1" customWidth="1"/>
    <col min="13" max="13" width="2.7109375" style="1" customWidth="1"/>
    <col min="14" max="16" width="13.140625" style="1" customWidth="1"/>
    <col min="17" max="17" width="2.7109375" style="1" customWidth="1"/>
    <col min="18" max="18" width="13.140625" style="1" customWidth="1"/>
    <col min="19" max="19" width="1.7109375" style="1" customWidth="1"/>
    <col min="20" max="16384" width="9.140625" style="1"/>
  </cols>
  <sheetData>
    <row r="1" spans="2:18" ht="12.95" customHeight="1"/>
    <row r="2" spans="2:18" ht="26.25" customHeight="1" thickBot="1">
      <c r="J2" s="204" t="s">
        <v>115</v>
      </c>
      <c r="K2" s="204"/>
      <c r="L2" s="204"/>
      <c r="M2" s="204"/>
      <c r="N2" s="204"/>
      <c r="O2" s="204"/>
      <c r="P2" s="204"/>
      <c r="Q2" s="204"/>
      <c r="R2" s="204"/>
    </row>
    <row r="3" spans="2:18" ht="25.5" customHeight="1">
      <c r="B3" s="150" t="s">
        <v>44</v>
      </c>
      <c r="C3" s="151" t="s">
        <v>0</v>
      </c>
      <c r="D3" s="151" t="s">
        <v>1</v>
      </c>
      <c r="E3" s="151" t="s">
        <v>80</v>
      </c>
      <c r="F3" s="151" t="s">
        <v>27</v>
      </c>
      <c r="G3" s="151" t="s">
        <v>24</v>
      </c>
      <c r="H3" s="191" t="s">
        <v>38</v>
      </c>
      <c r="J3" s="205" t="s">
        <v>81</v>
      </c>
      <c r="K3" s="206"/>
      <c r="L3" s="207"/>
      <c r="N3" s="208" t="s">
        <v>82</v>
      </c>
      <c r="O3" s="209"/>
      <c r="P3" s="154"/>
      <c r="R3" s="210" t="s">
        <v>116</v>
      </c>
    </row>
    <row r="4" spans="2:18" ht="25.5" customHeight="1" thickBot="1">
      <c r="B4" s="190"/>
      <c r="C4" s="153"/>
      <c r="D4" s="153"/>
      <c r="E4" s="153"/>
      <c r="F4" s="153"/>
      <c r="G4" s="153"/>
      <c r="H4" s="193"/>
      <c r="J4" s="104" t="s">
        <v>117</v>
      </c>
      <c r="K4" s="105" t="s">
        <v>118</v>
      </c>
      <c r="L4" s="106" t="s">
        <v>119</v>
      </c>
      <c r="N4" s="107" t="s">
        <v>117</v>
      </c>
      <c r="O4" s="108" t="s">
        <v>118</v>
      </c>
      <c r="P4" s="101" t="s">
        <v>119</v>
      </c>
      <c r="R4" s="211"/>
    </row>
    <row r="5" spans="2:18" ht="12.95" customHeight="1" thickBot="1"/>
    <row r="6" spans="2:18" ht="28.5" customHeight="1">
      <c r="B6" s="109">
        <v>1</v>
      </c>
      <c r="C6" s="200" t="s">
        <v>10</v>
      </c>
      <c r="D6" s="200"/>
      <c r="E6" s="200"/>
      <c r="F6" s="200"/>
      <c r="G6" s="200"/>
      <c r="H6" s="201"/>
      <c r="J6" s="110" t="s">
        <v>6</v>
      </c>
      <c r="K6" s="111" t="s">
        <v>6</v>
      </c>
      <c r="L6" s="112" t="s">
        <v>6</v>
      </c>
      <c r="N6" s="113">
        <f>SUM(N7:N14)</f>
        <v>76200.219304025595</v>
      </c>
      <c r="O6" s="114">
        <f>SUM(O7:O14)</f>
        <v>16288.480761563793</v>
      </c>
      <c r="P6" s="115">
        <f>SUM(P7:P14)</f>
        <v>20107.115907111187</v>
      </c>
      <c r="R6" s="116">
        <f>P6/N6</f>
        <v>0.26387215274128412</v>
      </c>
    </row>
    <row r="7" spans="2:18" ht="28.5" customHeight="1">
      <c r="B7" s="117">
        <v>1.1000000000000001</v>
      </c>
      <c r="C7" s="85" t="s">
        <v>39</v>
      </c>
      <c r="D7" s="85" t="s">
        <v>12</v>
      </c>
      <c r="E7" s="85" t="s">
        <v>29</v>
      </c>
      <c r="F7" s="85" t="s">
        <v>3</v>
      </c>
      <c r="G7" s="85" t="s">
        <v>25</v>
      </c>
      <c r="H7" s="118" t="s">
        <v>4</v>
      </c>
      <c r="J7" s="119">
        <v>0.41634391472433785</v>
      </c>
      <c r="K7" s="120">
        <v>0.51644933333333332</v>
      </c>
      <c r="L7" s="121">
        <v>0.55338266666666669</v>
      </c>
      <c r="N7" s="122">
        <v>7205.7340779117885</v>
      </c>
      <c r="O7" s="86">
        <v>7921.6307615637934</v>
      </c>
      <c r="P7" s="123">
        <v>8615.3159071111859</v>
      </c>
      <c r="R7" s="140">
        <f>P7/N7</f>
        <v>1.1956194627720556</v>
      </c>
    </row>
    <row r="8" spans="2:18" ht="28.5" customHeight="1">
      <c r="B8" s="117">
        <v>1.2</v>
      </c>
      <c r="C8" s="85" t="s">
        <v>39</v>
      </c>
      <c r="D8" s="85" t="s">
        <v>120</v>
      </c>
      <c r="E8" s="85" t="s">
        <v>29</v>
      </c>
      <c r="F8" s="85" t="s">
        <v>3</v>
      </c>
      <c r="G8" s="85" t="s">
        <v>25</v>
      </c>
      <c r="H8" s="118" t="s">
        <v>4</v>
      </c>
      <c r="J8" s="119">
        <v>0.372</v>
      </c>
      <c r="K8" s="86">
        <v>0</v>
      </c>
      <c r="L8" s="123">
        <v>0</v>
      </c>
      <c r="N8" s="122">
        <v>3631</v>
      </c>
      <c r="O8" s="86">
        <v>0</v>
      </c>
      <c r="P8" s="123">
        <v>0</v>
      </c>
      <c r="R8" s="139">
        <f t="shared" ref="R8:R26" si="0">P8/N8</f>
        <v>0</v>
      </c>
    </row>
    <row r="9" spans="2:18" ht="28.5" customHeight="1">
      <c r="B9" s="117">
        <v>1.3</v>
      </c>
      <c r="C9" s="85" t="s">
        <v>39</v>
      </c>
      <c r="D9" s="85" t="s">
        <v>76</v>
      </c>
      <c r="E9" s="85" t="s">
        <v>29</v>
      </c>
      <c r="F9" s="85" t="s">
        <v>3</v>
      </c>
      <c r="G9" s="85" t="s">
        <v>25</v>
      </c>
      <c r="H9" s="118" t="s">
        <v>4</v>
      </c>
      <c r="J9" s="119">
        <v>1.45</v>
      </c>
      <c r="K9" s="86">
        <v>0</v>
      </c>
      <c r="L9" s="123">
        <v>0</v>
      </c>
      <c r="N9" s="122">
        <v>14155</v>
      </c>
      <c r="O9" s="86">
        <v>0</v>
      </c>
      <c r="P9" s="123">
        <v>0</v>
      </c>
      <c r="R9" s="139">
        <f t="shared" si="0"/>
        <v>0</v>
      </c>
    </row>
    <row r="10" spans="2:18" ht="28.5" customHeight="1">
      <c r="B10" s="117">
        <v>1.4</v>
      </c>
      <c r="C10" s="85" t="s">
        <v>39</v>
      </c>
      <c r="D10" s="85" t="s">
        <v>18</v>
      </c>
      <c r="E10" s="85" t="s">
        <v>30</v>
      </c>
      <c r="F10" s="85" t="s">
        <v>3</v>
      </c>
      <c r="G10" s="85" t="s">
        <v>26</v>
      </c>
      <c r="H10" s="118" t="s">
        <v>35</v>
      </c>
      <c r="J10" s="122">
        <v>2591.9260760658876</v>
      </c>
      <c r="K10" s="86">
        <v>576</v>
      </c>
      <c r="L10" s="123">
        <v>768</v>
      </c>
      <c r="N10" s="122">
        <v>3813</v>
      </c>
      <c r="O10" s="86">
        <v>2859.75</v>
      </c>
      <c r="P10" s="123">
        <v>3813</v>
      </c>
      <c r="R10" s="140">
        <f t="shared" si="0"/>
        <v>1</v>
      </c>
    </row>
    <row r="11" spans="2:18" ht="28.5" customHeight="1">
      <c r="B11" s="117">
        <v>1.5</v>
      </c>
      <c r="C11" s="85" t="s">
        <v>40</v>
      </c>
      <c r="D11" s="85" t="s">
        <v>19</v>
      </c>
      <c r="E11" s="85" t="s">
        <v>121</v>
      </c>
      <c r="F11" s="85" t="s">
        <v>3</v>
      </c>
      <c r="G11" s="85" t="s">
        <v>13</v>
      </c>
      <c r="H11" s="118" t="s">
        <v>14</v>
      </c>
      <c r="J11" s="122">
        <v>23483.663</v>
      </c>
      <c r="K11" s="86">
        <v>3019.5</v>
      </c>
      <c r="L11" s="123">
        <v>4026</v>
      </c>
      <c r="N11" s="122">
        <v>38642.645493036602</v>
      </c>
      <c r="O11" s="86">
        <v>5305.5</v>
      </c>
      <c r="P11" s="123">
        <v>7074</v>
      </c>
      <c r="R11" s="139">
        <f t="shared" si="0"/>
        <v>0.18306200079584958</v>
      </c>
    </row>
    <row r="12" spans="2:18" ht="28.5" customHeight="1">
      <c r="B12" s="117">
        <v>1.6</v>
      </c>
      <c r="C12" s="85" t="s">
        <v>42</v>
      </c>
      <c r="D12" s="85" t="s">
        <v>11</v>
      </c>
      <c r="E12" s="85" t="s">
        <v>33</v>
      </c>
      <c r="F12" s="85" t="s">
        <v>28</v>
      </c>
      <c r="G12" s="85" t="s">
        <v>13</v>
      </c>
      <c r="H12" s="118" t="s">
        <v>36</v>
      </c>
      <c r="J12" s="122">
        <v>108</v>
      </c>
      <c r="K12" s="86">
        <v>0</v>
      </c>
      <c r="L12" s="123">
        <v>0</v>
      </c>
      <c r="N12" s="122">
        <v>158.879733077195</v>
      </c>
      <c r="O12" s="86">
        <v>0</v>
      </c>
      <c r="P12" s="123">
        <v>0</v>
      </c>
      <c r="R12" s="139">
        <f t="shared" si="0"/>
        <v>0</v>
      </c>
    </row>
    <row r="13" spans="2:18" ht="28.5" customHeight="1">
      <c r="B13" s="117">
        <v>1.7</v>
      </c>
      <c r="C13" s="85" t="s">
        <v>43</v>
      </c>
      <c r="D13" s="85" t="s">
        <v>22</v>
      </c>
      <c r="E13" s="85" t="s">
        <v>33</v>
      </c>
      <c r="F13" s="85" t="s">
        <v>28</v>
      </c>
      <c r="G13" s="85" t="s">
        <v>13</v>
      </c>
      <c r="H13" s="118" t="s">
        <v>36</v>
      </c>
      <c r="J13" s="122">
        <v>2146.1999999999998</v>
      </c>
      <c r="K13" s="86">
        <v>151.20000000000002</v>
      </c>
      <c r="L13" s="123">
        <v>453.59999999999997</v>
      </c>
      <c r="N13" s="122">
        <v>6439</v>
      </c>
      <c r="O13" s="86">
        <v>201.6</v>
      </c>
      <c r="P13" s="123">
        <v>604.79999999999995</v>
      </c>
      <c r="R13" s="139">
        <f t="shared" si="0"/>
        <v>9.3927628513744366E-2</v>
      </c>
    </row>
    <row r="14" spans="2:18" ht="28.5" customHeight="1" thickBot="1">
      <c r="B14" s="124">
        <v>1.8</v>
      </c>
      <c r="C14" s="125" t="s">
        <v>43</v>
      </c>
      <c r="D14" s="125" t="s">
        <v>23</v>
      </c>
      <c r="E14" s="125" t="s">
        <v>34</v>
      </c>
      <c r="F14" s="125" t="s">
        <v>3</v>
      </c>
      <c r="G14" s="125" t="s">
        <v>13</v>
      </c>
      <c r="H14" s="126" t="s">
        <v>37</v>
      </c>
      <c r="J14" s="127">
        <v>6</v>
      </c>
      <c r="K14" s="128">
        <v>0</v>
      </c>
      <c r="L14" s="129">
        <v>0</v>
      </c>
      <c r="N14" s="127">
        <v>2154.96</v>
      </c>
      <c r="O14" s="128">
        <v>0</v>
      </c>
      <c r="P14" s="129">
        <v>0</v>
      </c>
      <c r="R14" s="142">
        <f t="shared" si="0"/>
        <v>0</v>
      </c>
    </row>
    <row r="15" spans="2:18" ht="12.95" customHeight="1" thickBot="1"/>
    <row r="16" spans="2:18" ht="28.5" customHeight="1">
      <c r="B16" s="109">
        <v>2</v>
      </c>
      <c r="C16" s="200" t="s">
        <v>88</v>
      </c>
      <c r="D16" s="200"/>
      <c r="E16" s="200"/>
      <c r="F16" s="200"/>
      <c r="G16" s="200"/>
      <c r="H16" s="201"/>
      <c r="J16" s="110" t="s">
        <v>6</v>
      </c>
      <c r="K16" s="111" t="s">
        <v>6</v>
      </c>
      <c r="L16" s="112" t="s">
        <v>6</v>
      </c>
      <c r="N16" s="113">
        <f>SUM(N17:N22)</f>
        <v>113682.46307472221</v>
      </c>
      <c r="O16" s="114">
        <f>SUM(O17:O22)</f>
        <v>74813.069391984667</v>
      </c>
      <c r="P16" s="115">
        <f>SUM(P17:P22)</f>
        <v>109952.33025538494</v>
      </c>
      <c r="R16" s="116">
        <f t="shared" si="0"/>
        <v>0.96718814214215698</v>
      </c>
    </row>
    <row r="17" spans="2:19" ht="28.5" customHeight="1">
      <c r="B17" s="117">
        <v>2.1</v>
      </c>
      <c r="C17" s="85" t="s">
        <v>122</v>
      </c>
      <c r="D17" s="85" t="s">
        <v>59</v>
      </c>
      <c r="E17" s="85" t="s">
        <v>60</v>
      </c>
      <c r="F17" s="85" t="s">
        <v>3</v>
      </c>
      <c r="G17" s="85" t="s">
        <v>69</v>
      </c>
      <c r="H17" s="118" t="s">
        <v>4</v>
      </c>
      <c r="J17" s="119">
        <v>1.2106331251204503</v>
      </c>
      <c r="K17" s="120">
        <v>1.4711000000000001</v>
      </c>
      <c r="L17" s="121">
        <v>2.2980999999999998</v>
      </c>
      <c r="N17" s="122">
        <v>15976</v>
      </c>
      <c r="O17" s="86">
        <v>14677.583806234574</v>
      </c>
      <c r="P17" s="123">
        <v>23308.08632043306</v>
      </c>
      <c r="R17" s="140">
        <f t="shared" si="0"/>
        <v>1.4589438107431809</v>
      </c>
    </row>
    <row r="18" spans="2:19" ht="28.5" customHeight="1">
      <c r="B18" s="117">
        <v>2.2000000000000002</v>
      </c>
      <c r="C18" s="85" t="s">
        <v>55</v>
      </c>
      <c r="D18" s="85" t="s">
        <v>61</v>
      </c>
      <c r="E18" s="85" t="s">
        <v>60</v>
      </c>
      <c r="F18" s="85" t="s">
        <v>3</v>
      </c>
      <c r="G18" s="85" t="s">
        <v>69</v>
      </c>
      <c r="H18" s="118" t="s">
        <v>4</v>
      </c>
      <c r="J18" s="119">
        <v>1.3204111936655267</v>
      </c>
      <c r="K18" s="120">
        <v>0.82</v>
      </c>
      <c r="L18" s="121">
        <v>1.32</v>
      </c>
      <c r="N18" s="122">
        <v>24586.105561851527</v>
      </c>
      <c r="O18" s="86">
        <v>14241.0630594999</v>
      </c>
      <c r="P18" s="123">
        <v>24795.034</v>
      </c>
      <c r="R18" s="140">
        <f t="shared" si="0"/>
        <v>1.0084978256366333</v>
      </c>
    </row>
    <row r="19" spans="2:19" ht="28.5" customHeight="1">
      <c r="B19" s="117">
        <v>2.2999999999999998</v>
      </c>
      <c r="C19" s="85" t="s">
        <v>55</v>
      </c>
      <c r="D19" s="85" t="s">
        <v>62</v>
      </c>
      <c r="E19" s="85" t="s">
        <v>26</v>
      </c>
      <c r="F19" s="85" t="s">
        <v>3</v>
      </c>
      <c r="G19" s="85" t="s">
        <v>70</v>
      </c>
      <c r="H19" s="118" t="s">
        <v>5</v>
      </c>
      <c r="J19" s="122">
        <v>3467.4565929693958</v>
      </c>
      <c r="K19" s="86">
        <v>2173.5</v>
      </c>
      <c r="L19" s="123">
        <v>2897</v>
      </c>
      <c r="N19" s="122">
        <v>5098.6855409504515</v>
      </c>
      <c r="O19" s="86">
        <v>3336.5810000000001</v>
      </c>
      <c r="P19" s="123">
        <v>5117</v>
      </c>
      <c r="R19" s="140">
        <f t="shared" si="0"/>
        <v>1.0035919961924411</v>
      </c>
    </row>
    <row r="20" spans="2:19" ht="28.5" customHeight="1">
      <c r="B20" s="117">
        <v>2.4</v>
      </c>
      <c r="C20" s="85" t="s">
        <v>56</v>
      </c>
      <c r="D20" s="85" t="s">
        <v>63</v>
      </c>
      <c r="E20" s="85" t="s">
        <v>60</v>
      </c>
      <c r="F20" s="85" t="s">
        <v>3</v>
      </c>
      <c r="G20" s="85" t="s">
        <v>69</v>
      </c>
      <c r="H20" s="118" t="s">
        <v>4</v>
      </c>
      <c r="J20" s="119">
        <v>2.2265583428407711</v>
      </c>
      <c r="K20" s="120">
        <v>2.3929999999999998</v>
      </c>
      <c r="L20" s="121">
        <v>3.19</v>
      </c>
      <c r="N20" s="122">
        <v>41459.661171044987</v>
      </c>
      <c r="O20" s="86">
        <v>41559.590123638001</v>
      </c>
      <c r="P20" s="123">
        <v>55401.208731468971</v>
      </c>
      <c r="R20" s="140">
        <f t="shared" si="0"/>
        <v>1.3362677640540059</v>
      </c>
    </row>
    <row r="21" spans="2:19" ht="28.5" customHeight="1">
      <c r="B21" s="117">
        <v>2.5</v>
      </c>
      <c r="C21" s="85" t="s">
        <v>57</v>
      </c>
      <c r="D21" s="85" t="s">
        <v>65</v>
      </c>
      <c r="E21" s="85" t="s">
        <v>60</v>
      </c>
      <c r="F21" s="85" t="s">
        <v>3</v>
      </c>
      <c r="G21" s="85" t="s">
        <v>69</v>
      </c>
      <c r="H21" s="118" t="s">
        <v>4</v>
      </c>
      <c r="J21" s="119">
        <v>1.0024203330805306</v>
      </c>
      <c r="K21" s="120">
        <v>3.5999999999999997E-2</v>
      </c>
      <c r="L21" s="121">
        <v>4.8000000000000001E-2</v>
      </c>
      <c r="N21" s="122">
        <v>18665.103904524516</v>
      </c>
      <c r="O21" s="86">
        <v>625.21740261218895</v>
      </c>
      <c r="P21" s="123">
        <v>833.62320348291905</v>
      </c>
      <c r="R21" s="139">
        <f t="shared" si="0"/>
        <v>4.4662124987198411E-2</v>
      </c>
    </row>
    <row r="22" spans="2:19" ht="28.5" customHeight="1" thickBot="1">
      <c r="B22" s="124">
        <v>2.6</v>
      </c>
      <c r="C22" s="125" t="s">
        <v>57</v>
      </c>
      <c r="D22" s="125" t="s">
        <v>66</v>
      </c>
      <c r="E22" s="125" t="s">
        <v>26</v>
      </c>
      <c r="F22" s="125" t="s">
        <v>3</v>
      </c>
      <c r="G22" s="125" t="s">
        <v>70</v>
      </c>
      <c r="H22" s="126" t="s">
        <v>5</v>
      </c>
      <c r="J22" s="127">
        <v>5353.8351839666102</v>
      </c>
      <c r="K22" s="128">
        <v>243</v>
      </c>
      <c r="L22" s="129">
        <v>324</v>
      </c>
      <c r="N22" s="127">
        <v>7896.9068963507498</v>
      </c>
      <c r="O22" s="128">
        <v>373.03399999999999</v>
      </c>
      <c r="P22" s="129">
        <v>497.37799999999999</v>
      </c>
      <c r="R22" s="142">
        <f t="shared" si="0"/>
        <v>6.2983900725718828E-2</v>
      </c>
    </row>
    <row r="23" spans="2:19" ht="12.95" customHeight="1" thickBot="1"/>
    <row r="24" spans="2:19" ht="28.5" customHeight="1">
      <c r="B24" s="109">
        <v>3</v>
      </c>
      <c r="C24" s="200" t="s">
        <v>7</v>
      </c>
      <c r="D24" s="200"/>
      <c r="E24" s="200"/>
      <c r="F24" s="200"/>
      <c r="G24" s="200"/>
      <c r="H24" s="201"/>
      <c r="J24" s="110" t="s">
        <v>6</v>
      </c>
      <c r="K24" s="111" t="s">
        <v>6</v>
      </c>
      <c r="L24" s="112" t="s">
        <v>6</v>
      </c>
      <c r="N24" s="113">
        <f>SUM(N25:N26)</f>
        <v>162498.23818538158</v>
      </c>
      <c r="O24" s="114">
        <f>SUM(O25:O26)</f>
        <v>98125.403867937348</v>
      </c>
      <c r="P24" s="115">
        <f>SUM(P25:P26)</f>
        <v>162988.26699999999</v>
      </c>
      <c r="R24" s="116">
        <f t="shared" si="0"/>
        <v>1.0030155946309978</v>
      </c>
    </row>
    <row r="25" spans="2:19" ht="28.5" customHeight="1">
      <c r="B25" s="117">
        <v>3.1</v>
      </c>
      <c r="C25" s="85" t="s">
        <v>8</v>
      </c>
      <c r="D25" s="85" t="s">
        <v>77</v>
      </c>
      <c r="E25" s="85" t="s">
        <v>60</v>
      </c>
      <c r="F25" s="85" t="s">
        <v>3</v>
      </c>
      <c r="G25" s="85" t="s">
        <v>74</v>
      </c>
      <c r="H25" s="118" t="s">
        <v>4</v>
      </c>
      <c r="J25" s="119">
        <v>8.6677367402253225</v>
      </c>
      <c r="K25" s="120">
        <v>5.3500970133000001</v>
      </c>
      <c r="L25" s="121">
        <v>9.7705636799666706</v>
      </c>
      <c r="N25" s="122">
        <v>161393.58065113501</v>
      </c>
      <c r="O25" s="86">
        <v>97079.403867937348</v>
      </c>
      <c r="P25" s="123">
        <v>161593.26699999999</v>
      </c>
      <c r="R25" s="140">
        <f t="shared" si="0"/>
        <v>1.0012372632669735</v>
      </c>
    </row>
    <row r="26" spans="2:19" ht="28.5" customHeight="1" thickBot="1">
      <c r="B26" s="124">
        <v>3.2</v>
      </c>
      <c r="C26" s="125" t="s">
        <v>8</v>
      </c>
      <c r="D26" s="125" t="s">
        <v>9</v>
      </c>
      <c r="E26" s="125" t="s">
        <v>73</v>
      </c>
      <c r="F26" s="125" t="s">
        <v>3</v>
      </c>
      <c r="G26" s="125" t="s">
        <v>74</v>
      </c>
      <c r="H26" s="126" t="s">
        <v>5</v>
      </c>
      <c r="J26" s="127">
        <v>751.46771037182043</v>
      </c>
      <c r="K26" s="128">
        <v>564</v>
      </c>
      <c r="L26" s="129">
        <v>752</v>
      </c>
      <c r="N26" s="127">
        <v>1104.657534246576</v>
      </c>
      <c r="O26" s="128">
        <v>1046</v>
      </c>
      <c r="P26" s="129">
        <v>1395</v>
      </c>
      <c r="R26" s="141">
        <f t="shared" si="0"/>
        <v>1.2628348214285707</v>
      </c>
    </row>
    <row r="27" spans="2:19" ht="12.95" customHeight="1" thickBot="1"/>
    <row r="28" spans="2:19" ht="28.5" customHeight="1" thickBot="1">
      <c r="B28" s="130"/>
      <c r="C28" s="202" t="s">
        <v>97</v>
      </c>
      <c r="D28" s="202"/>
      <c r="E28" s="202"/>
      <c r="F28" s="202"/>
      <c r="G28" s="202"/>
      <c r="H28" s="203"/>
      <c r="I28" s="131"/>
      <c r="J28" s="132" t="s">
        <v>6</v>
      </c>
      <c r="K28" s="133" t="s">
        <v>6</v>
      </c>
      <c r="L28" s="134" t="s">
        <v>6</v>
      </c>
      <c r="M28" s="131"/>
      <c r="N28" s="135">
        <f>N6+N16+N24</f>
        <v>352380.92056412937</v>
      </c>
      <c r="O28" s="136">
        <f>O6+O16+O24</f>
        <v>189226.95402148581</v>
      </c>
      <c r="P28" s="137">
        <f>P6+P16+P24</f>
        <v>293047.7131624961</v>
      </c>
      <c r="Q28" s="131"/>
      <c r="R28" s="138">
        <f>P28/N28</f>
        <v>0.83162196379234643</v>
      </c>
      <c r="S28" s="131"/>
    </row>
  </sheetData>
  <mergeCells count="15">
    <mergeCell ref="C6:H6"/>
    <mergeCell ref="C16:H16"/>
    <mergeCell ref="C24:H24"/>
    <mergeCell ref="C28:H28"/>
    <mergeCell ref="J2:R2"/>
    <mergeCell ref="G3:G4"/>
    <mergeCell ref="H3:H4"/>
    <mergeCell ref="J3:L3"/>
    <mergeCell ref="N3:P3"/>
    <mergeCell ref="R3:R4"/>
    <mergeCell ref="B3:B4"/>
    <mergeCell ref="C3:C4"/>
    <mergeCell ref="D3:D4"/>
    <mergeCell ref="E3:E4"/>
    <mergeCell ref="F3:F4"/>
  </mergeCells>
  <conditionalFormatting sqref="J6:L14 N6:P14 J16:L22 N16:P22">
    <cfRule type="cellIs" dxfId="3" priority="10" operator="equal">
      <formula>0</formula>
    </cfRule>
  </conditionalFormatting>
  <conditionalFormatting sqref="J7:L14 N7:P14 J17:L22 N17:P22 J25:L26 N25:P26">
    <cfRule type="cellIs" dxfId="2" priority="4" operator="greaterThan">
      <formula>0</formula>
    </cfRule>
  </conditionalFormatting>
  <conditionalFormatting sqref="J24:L26">
    <cfRule type="cellIs" dxfId="1" priority="8" operator="equal">
      <formula>0</formula>
    </cfRule>
  </conditionalFormatting>
  <conditionalFormatting sqref="N24:P26">
    <cfRule type="cellIs" dxfId="0" priority="5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Эффекты 2024 г. (ЦУД)</vt:lpstr>
      <vt:lpstr>Прогноз 9+3 (2024). ЦУД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Чичагин Михаил Юрьевич</dc:creator>
  <cp:lastModifiedBy>AlxBuk</cp:lastModifiedBy>
  <cp:lastPrinted>2024-07-19T12:28:53Z</cp:lastPrinted>
  <dcterms:created xsi:type="dcterms:W3CDTF">2023-10-11T07:25:40Z</dcterms:created>
  <dcterms:modified xsi:type="dcterms:W3CDTF">2025-09-25T14:03:03Z</dcterms:modified>
</cp:coreProperties>
</file>