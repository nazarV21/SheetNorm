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m7k/Downloads/Основы работы с данными/Тренинг/"/>
    </mc:Choice>
  </mc:AlternateContent>
  <xr:revisionPtr revIDLastSave="0" documentId="8_{6A15C413-D592-7747-B6D9-72EF77162931}" xr6:coauthVersionLast="47" xr6:coauthVersionMax="47" xr10:uidLastSave="{00000000-0000-0000-0000-000000000000}"/>
  <bookViews>
    <workbookView xWindow="3560" yWindow="2720" windowWidth="27840" windowHeight="16740" xr2:uid="{4D2D7EC9-91EC-9346-B20E-0830FA031F94}"/>
  </bookViews>
  <sheets>
    <sheet name="БВ-2.3а" sheetId="2" r:id="rId1"/>
    <sheet name="Лист1" sheetId="1" r:id="rId2"/>
  </sheets>
  <definedNames>
    <definedName name="_xlnm.Print_Area" localSheetId="0">'БВ-2.3а'!$A$1:$E$22</definedName>
    <definedName name="Z_999A3FC6_9D15_4A11_AC73_106B07809E4C_.wvu.PrintArea" localSheetId="0" hidden="1">'БВ-2.3а'!$A$1:$E$22</definedName>
    <definedName name="Z_DB2D1ABF_D90B_44F2_B723_43901ABECAE6_.wvu.PrintArea" localSheetId="0" hidden="1">'БВ-2.3а'!$A$1:$E$22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/>
  <c r="A10" i="2" s="1"/>
  <c r="A11" i="2" s="1"/>
  <c r="A12" i="2" s="1"/>
  <c r="A13" i="2" s="1"/>
  <c r="A14" i="2" s="1"/>
  <c r="A15" i="2" s="1"/>
  <c r="A16" i="2" s="1"/>
  <c r="A17" i="2" s="1"/>
  <c r="A18" i="2" s="1"/>
  <c r="C11" i="2"/>
  <c r="D11" i="2"/>
  <c r="D21" i="2" s="1"/>
  <c r="E11" i="2"/>
  <c r="E20" i="2" s="1"/>
  <c r="C12" i="2"/>
  <c r="D12" i="2"/>
  <c r="E12" i="2"/>
  <c r="C20" i="2"/>
  <c r="C21" i="2"/>
  <c r="D20" i="2" l="1"/>
</calcChain>
</file>

<file path=xl/sharedStrings.xml><?xml version="1.0" encoding="utf-8"?>
<sst xmlns="http://schemas.openxmlformats.org/spreadsheetml/2006/main" count="27" uniqueCount="27">
  <si>
    <t>Примечание: 
1. При монтаже якорей другим способом см. блок-вставки БВ-2.4, БВ-2.5, БВ-2.6. 
2. При монтаже дополнительной единицы оборудования к укрупненной норме времени добавлять время на одну необходимую операцию:
- на установку заземления – 0,086 часа;
- на подключение к электросети – 0,129 часа;
- на укладку электрокабеля на подставки – 0,032 часа.
3. При монтаже экранирующего щита добавлять 0,17 часа.
4. При меньшем количестве оборудования норму времени корректировать
пропорционально количеству оборудования.</t>
  </si>
  <si>
    <t>без монтажа оттяжек подъемного агрегата</t>
  </si>
  <si>
    <t>с монтажом оттяжек подъемного агрегата</t>
  </si>
  <si>
    <t>Итого укрупненная норма времени:</t>
  </si>
  <si>
    <t>Монтаж якорей при помощи АЗА и испытание якорей для крепления оттяжек</t>
  </si>
  <si>
    <t>Монтаж подвесного гидравлического ключа с пневмоспайдером</t>
  </si>
  <si>
    <t>Монтаж линии долива от емкости к устью скважины</t>
  </si>
  <si>
    <t>Монтаж передвижных приемных мостков (1 ед.)</t>
  </si>
  <si>
    <t>норма входит в демонтаж-монтаж подъемного агрегата</t>
  </si>
  <si>
    <t>Монтаж передвижной рабочей площадки</t>
  </si>
  <si>
    <t>Подключение прожекторов к электросети</t>
  </si>
  <si>
    <t>Подключение электросети к инструментальному вагону (1 ед.)</t>
  </si>
  <si>
    <t>Укладка эл. кабеля на козлы-подставки (1 ед.)</t>
  </si>
  <si>
    <t>Установка заземления оборудования – 4 ед. (приемные мостки, технологическая емкость, доливная емкость, инструментальный вагон)</t>
  </si>
  <si>
    <t>Монтаж ИВЭ</t>
  </si>
  <si>
    <t>без оттяжек</t>
  </si>
  <si>
    <t>с оттяжками</t>
  </si>
  <si>
    <t>Монтаж подъемного агрегата</t>
  </si>
  <si>
    <t>1</t>
  </si>
  <si>
    <t xml:space="preserve"> свыше 100 т с балконом верхового рабочего</t>
  </si>
  <si>
    <t>от 50 до 80 т</t>
  </si>
  <si>
    <t>до 50 т</t>
  </si>
  <si>
    <t>Группы подъемных агрегатов</t>
  </si>
  <si>
    <t>Норма времени, час</t>
  </si>
  <si>
    <t>Наименование работ</t>
  </si>
  <si>
    <t>№ п.п.</t>
  </si>
  <si>
    <t>БВ-2.3а Подготовительные работы перед ремонтом скважины при перестановке оборудования на кусте со скважины на скважину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</si>
</sst>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sz val="10"/>
      <color theme="1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8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left" vertical="center" wrapText="1"/>
    </xf>
    <xf numFmtId="2" fontId="3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left" vertical="center" wrapText="1"/>
    </xf>
    <xf numFmtId="2" fontId="2" fillId="0" borderId="0" xfId="1" applyNumberFormat="1" applyFont="1" applyAlignment="1">
      <alignment vertical="center"/>
    </xf>
    <xf numFmtId="2" fontId="2" fillId="0" borderId="1" xfId="1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 wrapText="1"/>
    </xf>
    <xf numFmtId="2" fontId="2" fillId="0" borderId="1" xfId="1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</cellXfs>
  <cellStyles count="3">
    <cellStyle name="Обычный" xfId="0" builtinId="0"/>
    <cellStyle name="Обычный 2" xfId="1" xr:uid="{AE34D01F-A998-F04D-8912-86763EDBB128}"/>
    <cellStyle name="Обычный 2_структура сборника ТРС (4) 2" xfId="2" xr:uid="{35105F21-2CDE-E54A-894C-6B44708501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8F1C-2569-2446-849A-E3CFBD8AD532}">
  <sheetPr>
    <tabColor rgb="FFFFC000"/>
  </sheetPr>
  <dimension ref="A1:F22"/>
  <sheetViews>
    <sheetView tabSelected="1" view="pageBreakPreview" workbookViewId="0">
      <selection activeCell="C5" sqref="C5"/>
    </sheetView>
  </sheetViews>
  <sheetFormatPr baseColWidth="10" defaultColWidth="9.1640625" defaultRowHeight="16" x14ac:dyDescent="0.2"/>
  <cols>
    <col min="1" max="1" width="5.1640625" style="1" customWidth="1"/>
    <col min="2" max="2" width="55.5" style="1" customWidth="1"/>
    <col min="3" max="3" width="8.5" style="1" customWidth="1"/>
    <col min="4" max="4" width="8.83203125" style="1" customWidth="1"/>
    <col min="5" max="5" width="13.83203125" style="1" customWidth="1"/>
    <col min="6" max="6" width="9.1640625" style="1"/>
    <col min="7" max="9" width="16.5" style="1" customWidth="1"/>
    <col min="10" max="16384" width="9.1640625" style="1"/>
  </cols>
  <sheetData>
    <row r="1" spans="1:6" ht="34.5" customHeight="1" x14ac:dyDescent="0.2">
      <c r="A1" s="17" t="s">
        <v>26</v>
      </c>
      <c r="B1" s="17"/>
      <c r="C1" s="17"/>
      <c r="D1" s="17"/>
      <c r="E1" s="17"/>
    </row>
    <row r="2" spans="1:6" ht="4.5" customHeight="1" x14ac:dyDescent="0.2">
      <c r="A2" s="17"/>
      <c r="B2" s="17"/>
      <c r="C2" s="17"/>
      <c r="D2" s="17"/>
      <c r="E2" s="17"/>
    </row>
    <row r="3" spans="1:6" s="14" customFormat="1" x14ac:dyDescent="0.2">
      <c r="A3" s="16" t="s">
        <v>25</v>
      </c>
      <c r="B3" s="16" t="s">
        <v>24</v>
      </c>
      <c r="C3" s="16" t="s">
        <v>23</v>
      </c>
      <c r="D3" s="16"/>
      <c r="E3" s="16"/>
    </row>
    <row r="4" spans="1:6" s="14" customFormat="1" x14ac:dyDescent="0.2">
      <c r="A4" s="16"/>
      <c r="B4" s="16"/>
      <c r="C4" s="16" t="s">
        <v>22</v>
      </c>
      <c r="D4" s="16"/>
      <c r="E4" s="16"/>
    </row>
    <row r="5" spans="1:6" s="14" customFormat="1" ht="68" x14ac:dyDescent="0.2">
      <c r="A5" s="16"/>
      <c r="B5" s="16"/>
      <c r="C5" s="15" t="s">
        <v>21</v>
      </c>
      <c r="D5" s="15" t="s">
        <v>20</v>
      </c>
      <c r="E5" s="15" t="s">
        <v>19</v>
      </c>
    </row>
    <row r="6" spans="1:6" ht="17" x14ac:dyDescent="0.2">
      <c r="A6" s="13" t="s">
        <v>18</v>
      </c>
      <c r="B6" s="5" t="s">
        <v>17</v>
      </c>
      <c r="C6" s="12"/>
      <c r="D6" s="12"/>
      <c r="E6" s="12"/>
    </row>
    <row r="7" spans="1:6" ht="17" x14ac:dyDescent="0.2">
      <c r="A7" s="13"/>
      <c r="B7" s="5" t="s">
        <v>16</v>
      </c>
      <c r="C7" s="10">
        <v>1.56</v>
      </c>
      <c r="D7" s="10">
        <v>3.49</v>
      </c>
      <c r="E7" s="10">
        <v>10.58</v>
      </c>
      <c r="F7" s="9"/>
    </row>
    <row r="8" spans="1:6" ht="17" x14ac:dyDescent="0.2">
      <c r="A8" s="13"/>
      <c r="B8" s="5" t="s">
        <v>15</v>
      </c>
      <c r="C8" s="10">
        <v>1.1599999999999999</v>
      </c>
      <c r="D8" s="10">
        <v>2.0299999999999998</v>
      </c>
      <c r="E8" s="10"/>
      <c r="F8" s="9"/>
    </row>
    <row r="9" spans="1:6" ht="17" x14ac:dyDescent="0.2">
      <c r="A9" s="11">
        <f>INDEX(A:A,ROW()-3)+1</f>
        <v>2</v>
      </c>
      <c r="B9" s="5" t="s">
        <v>14</v>
      </c>
      <c r="C9" s="10">
        <v>0.18</v>
      </c>
      <c r="D9" s="10">
        <v>0.18</v>
      </c>
      <c r="E9" s="10">
        <v>0.18</v>
      </c>
      <c r="F9" s="9"/>
    </row>
    <row r="10" spans="1:6" ht="51" x14ac:dyDescent="0.2">
      <c r="A10" s="11">
        <f>INDEX(A:A,ROW()-1)+1</f>
        <v>3</v>
      </c>
      <c r="B10" s="5" t="s">
        <v>13</v>
      </c>
      <c r="C10" s="10">
        <v>0.63</v>
      </c>
      <c r="D10" s="10">
        <v>0.63</v>
      </c>
      <c r="E10" s="10">
        <v>0.63</v>
      </c>
      <c r="F10" s="9"/>
    </row>
    <row r="11" spans="1:6" ht="17" x14ac:dyDescent="0.2">
      <c r="A11" s="11">
        <f>INDEX(A:A,ROW()-1)+1</f>
        <v>4</v>
      </c>
      <c r="B11" s="5" t="s">
        <v>12</v>
      </c>
      <c r="C11" s="10">
        <f>0.14/4</f>
        <v>3.5000000000000003E-2</v>
      </c>
      <c r="D11" s="10">
        <f>0.14/4</f>
        <v>3.5000000000000003E-2</v>
      </c>
      <c r="E11" s="10">
        <f>0.14/4</f>
        <v>3.5000000000000003E-2</v>
      </c>
    </row>
    <row r="12" spans="1:6" ht="17" x14ac:dyDescent="0.2">
      <c r="A12" s="11">
        <f>INDEX(A:A,ROW()-1)+1</f>
        <v>5</v>
      </c>
      <c r="B12" s="5" t="s">
        <v>11</v>
      </c>
      <c r="C12" s="10">
        <f>0.51/4</f>
        <v>0.1275</v>
      </c>
      <c r="D12" s="10">
        <f>0.51/4</f>
        <v>0.1275</v>
      </c>
      <c r="E12" s="10">
        <f>0.51/4</f>
        <v>0.1275</v>
      </c>
    </row>
    <row r="13" spans="1:6" ht="17" x14ac:dyDescent="0.2">
      <c r="A13" s="11">
        <f>INDEX(A:A,ROW()-1)+1</f>
        <v>6</v>
      </c>
      <c r="B13" s="5" t="s">
        <v>10</v>
      </c>
      <c r="C13" s="10">
        <v>0.14000000000000001</v>
      </c>
      <c r="D13" s="10">
        <v>0.14000000000000001</v>
      </c>
      <c r="E13" s="10">
        <v>0.14000000000000001</v>
      </c>
      <c r="F13" s="9"/>
    </row>
    <row r="14" spans="1:6" ht="85" x14ac:dyDescent="0.2">
      <c r="A14" s="11">
        <f>INDEX(A:A,ROW()-1)+1</f>
        <v>7</v>
      </c>
      <c r="B14" s="5" t="s">
        <v>9</v>
      </c>
      <c r="C14" s="10">
        <v>0.83</v>
      </c>
      <c r="D14" s="10">
        <v>0.83</v>
      </c>
      <c r="E14" s="12" t="s">
        <v>8</v>
      </c>
      <c r="F14" s="9"/>
    </row>
    <row r="15" spans="1:6" ht="17" x14ac:dyDescent="0.2">
      <c r="A15" s="11">
        <f>INDEX(A:A,ROW()-1)+1</f>
        <v>8</v>
      </c>
      <c r="B15" s="5" t="s">
        <v>7</v>
      </c>
      <c r="C15" s="10">
        <v>0.28999999999999998</v>
      </c>
      <c r="D15" s="10">
        <v>0.28999999999999998</v>
      </c>
      <c r="E15" s="10">
        <v>0.28999999999999998</v>
      </c>
      <c r="F15" s="9"/>
    </row>
    <row r="16" spans="1:6" ht="17" x14ac:dyDescent="0.2">
      <c r="A16" s="11">
        <f>INDEX(A:A,ROW()-1)+1</f>
        <v>9</v>
      </c>
      <c r="B16" s="5" t="s">
        <v>6</v>
      </c>
      <c r="C16" s="10">
        <v>0.14000000000000001</v>
      </c>
      <c r="D16" s="10">
        <v>0.14000000000000001</v>
      </c>
      <c r="E16" s="10">
        <v>0.14000000000000001</v>
      </c>
      <c r="F16" s="9"/>
    </row>
    <row r="17" spans="1:6" ht="34" x14ac:dyDescent="0.2">
      <c r="A17" s="11">
        <f>INDEX(A:A,ROW()-1)+1</f>
        <v>10</v>
      </c>
      <c r="B17" s="5" t="s">
        <v>5</v>
      </c>
      <c r="C17" s="10">
        <v>0.22</v>
      </c>
      <c r="D17" s="10">
        <v>0.22</v>
      </c>
      <c r="E17" s="10">
        <v>0.22</v>
      </c>
      <c r="F17" s="9"/>
    </row>
    <row r="18" spans="1:6" ht="34" x14ac:dyDescent="0.2">
      <c r="A18" s="11">
        <f>INDEX(A:A,ROW()-1)+1</f>
        <v>11</v>
      </c>
      <c r="B18" s="5" t="s">
        <v>4</v>
      </c>
      <c r="C18" s="10">
        <v>0.65</v>
      </c>
      <c r="D18" s="10">
        <v>0.65</v>
      </c>
      <c r="E18" s="10">
        <v>1.1299999999999999</v>
      </c>
      <c r="F18" s="9"/>
    </row>
    <row r="19" spans="1:6" s="7" customFormat="1" ht="17" x14ac:dyDescent="0.2">
      <c r="A19" s="6"/>
      <c r="B19" s="8" t="s">
        <v>3</v>
      </c>
      <c r="C19" s="4"/>
      <c r="D19" s="4"/>
      <c r="E19" s="4"/>
    </row>
    <row r="20" spans="1:6" ht="17" x14ac:dyDescent="0.2">
      <c r="A20" s="6"/>
      <c r="B20" s="5" t="s">
        <v>2</v>
      </c>
      <c r="C20" s="4">
        <f>SUM(C7,C9:C18)</f>
        <v>4.8025000000000011</v>
      </c>
      <c r="D20" s="4">
        <f>SUM(D7,D9:D18)</f>
        <v>6.7325000000000008</v>
      </c>
      <c r="E20" s="4">
        <f>SUM(E7,E9:E18)</f>
        <v>13.4725</v>
      </c>
    </row>
    <row r="21" spans="1:6" ht="17" x14ac:dyDescent="0.2">
      <c r="A21" s="6"/>
      <c r="B21" s="5" t="s">
        <v>1</v>
      </c>
      <c r="C21" s="4">
        <f>SUM(C8,C9:C17)</f>
        <v>3.7525000000000004</v>
      </c>
      <c r="D21" s="4">
        <f>SUM(D8,D9:D17)</f>
        <v>4.6224999999999996</v>
      </c>
      <c r="E21" s="4"/>
    </row>
    <row r="22" spans="1:6" ht="168.75" customHeight="1" x14ac:dyDescent="0.2">
      <c r="A22" s="3" t="s">
        <v>0</v>
      </c>
      <c r="B22" s="2"/>
      <c r="C22" s="2"/>
      <c r="D22" s="2"/>
      <c r="E22" s="2"/>
    </row>
  </sheetData>
  <mergeCells count="7">
    <mergeCell ref="A22:E22"/>
    <mergeCell ref="A1:E1"/>
    <mergeCell ref="A2:E2"/>
    <mergeCell ref="A3:A5"/>
    <mergeCell ref="B3:B5"/>
    <mergeCell ref="C3:E3"/>
    <mergeCell ref="C4:E4"/>
  </mergeCells>
  <pageMargins left="0.78740157480314954" right="0.39370078740157477" top="0.43307086614173229" bottom="0.47244094488188981" header="0.19685039370078738" footer="0.19685039370078738"/>
  <pageSetup paperSize="9" firstPageNumber="1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85C4F-347F-4C46-90DA-8B5979D37BD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БВ-2.3а</vt:lpstr>
      <vt:lpstr>Лист1</vt:lpstr>
      <vt:lpstr>'БВ-2.3а'!Область_печати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2025-11-20T13:00:50Z</dcterms:created>
  <dcterms:modified xsi:type="dcterms:W3CDTF">2025-11-20T13:01:36Z</dcterms:modified>
</cp:coreProperties>
</file>