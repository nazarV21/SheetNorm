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xBuk\Desktop\Основы работы с данными\Основы работы с данными - Примеры\"/>
    </mc:Choice>
  </mc:AlternateContent>
  <xr:revisionPtr revIDLastSave="0" documentId="13_ncr:1_{AC6838B7-909B-4958-BB1E-D56DA67480A1}" xr6:coauthVersionLast="47" xr6:coauthVersionMax="47" xr10:uidLastSave="{00000000-0000-0000-0000-000000000000}"/>
  <bookViews>
    <workbookView xWindow="-108" yWindow="-108" windowWidth="41496" windowHeight="17040" xr2:uid="{A50120A1-6978-42AE-990E-30A7813532E5}"/>
  </bookViews>
  <sheets>
    <sheet name="Исходная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1" l="1"/>
  <c r="C21" i="1"/>
  <c r="D21" i="1"/>
  <c r="D20" i="1"/>
  <c r="E11" i="1" l="1"/>
  <c r="E20" i="1"/>
  <c r="E12" i="1"/>
  <c r="D12" i="1"/>
  <c r="C12" i="1"/>
  <c r="D11" i="1"/>
  <c r="C11" i="1"/>
  <c r="A9" i="1"/>
  <c r="A10" i="1" s="1"/>
  <c r="A11" i="1" s="1"/>
  <c r="A12" i="1" s="1"/>
  <c r="A13" i="1" s="1"/>
  <c r="A14" i="1" s="1"/>
  <c r="A15" i="1" s="1"/>
  <c r="A16" i="1" s="1"/>
  <c r="A17" i="1" s="1"/>
  <c r="A18" i="1" s="1"/>
</calcChain>
</file>

<file path=xl/sharedStrings.xml><?xml version="1.0" encoding="utf-8"?>
<sst xmlns="http://schemas.openxmlformats.org/spreadsheetml/2006/main" count="26" uniqueCount="26">
  <si>
    <t>БВ-2.3а Подготовительные работы перед ремонтом скважины при перестановке оборудования на кусте со скважины на скважину</t>
  </si>
  <si>
    <t>№ п.п.</t>
  </si>
  <si>
    <t>Наименование работ</t>
  </si>
  <si>
    <t>Норма времени, час</t>
  </si>
  <si>
    <t>Группы подъемных агрегатов</t>
  </si>
  <si>
    <t>до 50 т</t>
  </si>
  <si>
    <t>от 50 до 80 т</t>
  </si>
  <si>
    <t xml:space="preserve"> свыше 100 т с балконом верхового рабочего</t>
  </si>
  <si>
    <t>1</t>
  </si>
  <si>
    <t>Монтаж подъемного агрегата</t>
  </si>
  <si>
    <t>с оттяжками</t>
  </si>
  <si>
    <t>без оттяжек</t>
  </si>
  <si>
    <t>Монтаж ИВЭ</t>
  </si>
  <si>
    <t>Установка заземления оборудования – 4 ед. (приемные мостки, технологическая емкость, доливная емкость, инструментальный вагон)</t>
  </si>
  <si>
    <t>Укладка эл. кабеля на козлы-подставки (1 ед.)</t>
  </si>
  <si>
    <t>Подключение электросети к инструментальному вагону (1 ед.)</t>
  </si>
  <si>
    <t>Подключение прожекторов к электросети</t>
  </si>
  <si>
    <t>Монтаж передвижной рабочей площадки</t>
  </si>
  <si>
    <t>норма входит в демонтаж-монтаж подъемного агрегата</t>
  </si>
  <si>
    <t>Монтаж передвижных приемных мостков (1 ед.)</t>
  </si>
  <si>
    <t>Монтаж линии долива от емкости к устью скважины</t>
  </si>
  <si>
    <t>Монтаж подвесного гидравлического ключа с пневмоспайдером</t>
  </si>
  <si>
    <t>Монтаж якорей при помощи АЗА и испытание якорей для крепления оттяжек</t>
  </si>
  <si>
    <t>Итого укрупненная норма времени:</t>
  </si>
  <si>
    <t>с монтажом оттяжек подъемного агрегата</t>
  </si>
  <si>
    <t>без монтажа оттяжек подъемного агрегата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</si>
</sst>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2"/>
      <name val="Times New Roman"/>
    </font>
    <font>
      <sz val="12"/>
      <name val="Times New Roman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2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Fill="1" applyBorder="1" applyAlignment="1">
      <alignment horizontal="center" vertical="center"/>
    </xf>
  </cellXfs>
  <cellStyles count="2">
    <cellStyle name="Обычный" xfId="0" builtinId="0"/>
    <cellStyle name="Обычный 2_структура сборника ТРС (4) 2" xfId="1" xr:uid="{BCD59577-33DB-4190-9A08-4FF81A3440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F6908-E84E-4ED4-8D83-354FD6347285}">
  <dimension ref="A1:E22"/>
  <sheetViews>
    <sheetView tabSelected="1" zoomScaleNormal="100" workbookViewId="0">
      <selection activeCell="J10" sqref="J10"/>
    </sheetView>
  </sheetViews>
  <sheetFormatPr defaultRowHeight="14.4" x14ac:dyDescent="0.3"/>
  <cols>
    <col min="2" max="2" width="82.33203125" customWidth="1"/>
    <col min="3" max="4" width="18.88671875" customWidth="1"/>
    <col min="5" max="5" width="21" bestFit="1" customWidth="1"/>
  </cols>
  <sheetData>
    <row r="1" spans="1:5" ht="15.6" x14ac:dyDescent="0.3">
      <c r="A1" s="12" t="s">
        <v>0</v>
      </c>
      <c r="B1" s="12"/>
      <c r="C1" s="12"/>
      <c r="D1" s="12"/>
      <c r="E1" s="12"/>
    </row>
    <row r="2" spans="1:5" ht="15.6" x14ac:dyDescent="0.3">
      <c r="A2" s="12"/>
      <c r="B2" s="12"/>
      <c r="C2" s="12"/>
      <c r="D2" s="12"/>
      <c r="E2" s="12"/>
    </row>
    <row r="3" spans="1:5" ht="15.6" x14ac:dyDescent="0.3">
      <c r="A3" s="13" t="s">
        <v>1</v>
      </c>
      <c r="B3" s="13" t="s">
        <v>2</v>
      </c>
      <c r="C3" s="13" t="s">
        <v>3</v>
      </c>
      <c r="D3" s="13"/>
      <c r="E3" s="13"/>
    </row>
    <row r="4" spans="1:5" ht="15.6" x14ac:dyDescent="0.3">
      <c r="A4" s="13"/>
      <c r="B4" s="13"/>
      <c r="C4" s="13" t="s">
        <v>4</v>
      </c>
      <c r="D4" s="13"/>
      <c r="E4" s="13"/>
    </row>
    <row r="5" spans="1:5" ht="46.8" x14ac:dyDescent="0.3">
      <c r="A5" s="13"/>
      <c r="B5" s="13"/>
      <c r="C5" s="1" t="s">
        <v>5</v>
      </c>
      <c r="D5" s="1" t="s">
        <v>6</v>
      </c>
      <c r="E5" s="1" t="s">
        <v>7</v>
      </c>
    </row>
    <row r="6" spans="1:5" ht="15.6" x14ac:dyDescent="0.3">
      <c r="A6" s="2" t="s">
        <v>8</v>
      </c>
      <c r="B6" s="3" t="s">
        <v>9</v>
      </c>
      <c r="C6" s="4"/>
      <c r="D6" s="4"/>
      <c r="E6" s="4"/>
    </row>
    <row r="7" spans="1:5" ht="15.6" x14ac:dyDescent="0.3">
      <c r="A7" s="2"/>
      <c r="B7" s="3" t="s">
        <v>10</v>
      </c>
      <c r="C7" s="5">
        <v>1.56</v>
      </c>
      <c r="D7" s="5">
        <v>3.49</v>
      </c>
      <c r="E7" s="5">
        <v>10.58</v>
      </c>
    </row>
    <row r="8" spans="1:5" ht="15.6" x14ac:dyDescent="0.3">
      <c r="A8" s="2"/>
      <c r="B8" s="3" t="s">
        <v>11</v>
      </c>
      <c r="C8" s="5">
        <v>1.1599999999999999</v>
      </c>
      <c r="D8" s="5">
        <v>2.0299999999999998</v>
      </c>
      <c r="E8" s="5"/>
    </row>
    <row r="9" spans="1:5" ht="15.6" x14ac:dyDescent="0.3">
      <c r="A9" s="6">
        <f>INDEX(A:A,ROW()-3)+1</f>
        <v>2</v>
      </c>
      <c r="B9" s="3" t="s">
        <v>12</v>
      </c>
      <c r="C9" s="14">
        <v>0.18</v>
      </c>
      <c r="D9" s="14">
        <v>0.18</v>
      </c>
      <c r="E9" s="14">
        <v>0.18</v>
      </c>
    </row>
    <row r="10" spans="1:5" ht="31.2" x14ac:dyDescent="0.3">
      <c r="A10" s="6">
        <f t="shared" ref="A10:A18" si="0">INDEX(A:A,ROW()-1)+1</f>
        <v>3</v>
      </c>
      <c r="B10" s="3" t="s">
        <v>13</v>
      </c>
      <c r="C10" s="5">
        <v>0.63</v>
      </c>
      <c r="D10" s="5">
        <v>0.63</v>
      </c>
      <c r="E10" s="5">
        <v>0.63</v>
      </c>
    </row>
    <row r="11" spans="1:5" ht="15.6" x14ac:dyDescent="0.3">
      <c r="A11" s="6">
        <f t="shared" si="0"/>
        <v>4</v>
      </c>
      <c r="B11" s="3" t="s">
        <v>14</v>
      </c>
      <c r="C11" s="5">
        <f>0.14/4</f>
        <v>3.5000000000000003E-2</v>
      </c>
      <c r="D11" s="5">
        <f>0.14/4</f>
        <v>3.5000000000000003E-2</v>
      </c>
      <c r="E11" s="5">
        <f>0.14/4</f>
        <v>3.5000000000000003E-2</v>
      </c>
    </row>
    <row r="12" spans="1:5" ht="15.6" x14ac:dyDescent="0.3">
      <c r="A12" s="6">
        <f t="shared" si="0"/>
        <v>5</v>
      </c>
      <c r="B12" s="3" t="s">
        <v>15</v>
      </c>
      <c r="C12" s="5">
        <f>0.51/4</f>
        <v>0.1275</v>
      </c>
      <c r="D12" s="5">
        <f>0.51/4</f>
        <v>0.1275</v>
      </c>
      <c r="E12" s="5">
        <f>0.51/4</f>
        <v>0.1275</v>
      </c>
    </row>
    <row r="13" spans="1:5" ht="15.6" x14ac:dyDescent="0.3">
      <c r="A13" s="6">
        <f t="shared" si="0"/>
        <v>6</v>
      </c>
      <c r="B13" s="3" t="s">
        <v>16</v>
      </c>
      <c r="C13" s="5">
        <v>0.14000000000000001</v>
      </c>
      <c r="D13" s="5">
        <v>0.14000000000000001</v>
      </c>
      <c r="E13" s="5">
        <v>0.14000000000000001</v>
      </c>
    </row>
    <row r="14" spans="1:5" ht="46.8" x14ac:dyDescent="0.3">
      <c r="A14" s="6">
        <f t="shared" si="0"/>
        <v>7</v>
      </c>
      <c r="B14" s="3" t="s">
        <v>17</v>
      </c>
      <c r="C14" s="5">
        <v>0.83</v>
      </c>
      <c r="D14" s="5">
        <v>0.83</v>
      </c>
      <c r="E14" s="4" t="s">
        <v>18</v>
      </c>
    </row>
    <row r="15" spans="1:5" ht="15.6" x14ac:dyDescent="0.3">
      <c r="A15" s="6">
        <f t="shared" si="0"/>
        <v>8</v>
      </c>
      <c r="B15" s="3" t="s">
        <v>19</v>
      </c>
      <c r="C15" s="5">
        <v>0.28999999999999998</v>
      </c>
      <c r="D15" s="5">
        <v>0.28999999999999998</v>
      </c>
      <c r="E15" s="5">
        <v>0.28999999999999998</v>
      </c>
    </row>
    <row r="16" spans="1:5" ht="15.6" x14ac:dyDescent="0.3">
      <c r="A16" s="6">
        <f t="shared" si="0"/>
        <v>9</v>
      </c>
      <c r="B16" s="3" t="s">
        <v>20</v>
      </c>
      <c r="C16" s="5">
        <v>0.14000000000000001</v>
      </c>
      <c r="D16" s="5">
        <v>0.14000000000000001</v>
      </c>
      <c r="E16" s="5">
        <v>0.14000000000000001</v>
      </c>
    </row>
    <row r="17" spans="1:5" ht="15.6" x14ac:dyDescent="0.3">
      <c r="A17" s="6">
        <f t="shared" si="0"/>
        <v>10</v>
      </c>
      <c r="B17" s="3" t="s">
        <v>21</v>
      </c>
      <c r="C17" s="5">
        <v>0.22</v>
      </c>
      <c r="D17" s="5">
        <v>0.22</v>
      </c>
      <c r="E17" s="5">
        <v>0.22</v>
      </c>
    </row>
    <row r="18" spans="1:5" ht="15.6" x14ac:dyDescent="0.3">
      <c r="A18" s="6">
        <f t="shared" si="0"/>
        <v>11</v>
      </c>
      <c r="B18" s="3" t="s">
        <v>22</v>
      </c>
      <c r="C18" s="5">
        <v>0.65</v>
      </c>
      <c r="D18" s="5">
        <v>0.65</v>
      </c>
      <c r="E18" s="5">
        <v>1.1299999999999999</v>
      </c>
    </row>
    <row r="19" spans="1:5" ht="15.6" x14ac:dyDescent="0.3">
      <c r="A19" s="7"/>
      <c r="B19" s="8" t="s">
        <v>23</v>
      </c>
      <c r="C19" s="9"/>
      <c r="D19" s="9"/>
      <c r="E19" s="9"/>
    </row>
    <row r="20" spans="1:5" ht="15.6" x14ac:dyDescent="0.3">
      <c r="A20" s="7"/>
      <c r="B20" s="3" t="s">
        <v>24</v>
      </c>
      <c r="C20" s="9">
        <f>SUM(C7,C9:C18)</f>
        <v>4.8025000000000011</v>
      </c>
      <c r="D20" s="9">
        <f>SUM(D7,D9:D18)</f>
        <v>6.7325000000000008</v>
      </c>
      <c r="E20" s="9">
        <f>SUM(E7,E9:E18)</f>
        <v>13.4725</v>
      </c>
    </row>
    <row r="21" spans="1:5" ht="15.6" x14ac:dyDescent="0.3">
      <c r="A21" s="7"/>
      <c r="B21" s="3" t="s">
        <v>25</v>
      </c>
      <c r="C21" s="9">
        <f>SUM(C8,C9:C17)</f>
        <v>3.7525000000000004</v>
      </c>
      <c r="D21" s="9">
        <f>SUM(D8,D9:D17)</f>
        <v>4.6224999999999996</v>
      </c>
      <c r="E21" s="9"/>
    </row>
    <row r="22" spans="1:5" ht="15.6" x14ac:dyDescent="0.3">
      <c r="A22" s="10"/>
      <c r="B22" s="11"/>
      <c r="C22" s="11"/>
      <c r="D22" s="11"/>
      <c r="E22" s="11"/>
    </row>
  </sheetData>
  <mergeCells count="7">
    <mergeCell ref="A22:E22"/>
    <mergeCell ref="A1:E1"/>
    <mergeCell ref="A2:E2"/>
    <mergeCell ref="A3:A5"/>
    <mergeCell ref="B3:B5"/>
    <mergeCell ref="C3:E3"/>
    <mergeCell ref="C4:E4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Исходная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AlxBuk</dc:creator>
  <cp:lastModifiedBy>AlxBuk</cp:lastModifiedBy>
  <dcterms:created xsi:type="dcterms:W3CDTF">2025-09-23T16:00:48Z</dcterms:created>
  <dcterms:modified xsi:type="dcterms:W3CDTF">2025-09-24T06:11:41Z</dcterms:modified>
</cp:coreProperties>
</file>